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fb5c22b2bb5f8cf1/Documents/Computer Science/Projects/Cookies Dataset from ChatGPT/"/>
    </mc:Choice>
  </mc:AlternateContent>
  <xr:revisionPtr revIDLastSave="26" documentId="8_{96EDF254-CB1D-4136-8BFD-B5BAAF6D2AAF}" xr6:coauthVersionLast="47" xr6:coauthVersionMax="47" xr10:uidLastSave="{ACC42274-4B87-4E83-8EA2-745D0B6BFAC8}"/>
  <bookViews>
    <workbookView xWindow="-110" yWindow="-110" windowWidth="25820" windowHeight="15500" firstSheet="1" activeTab="3" xr2:uid="{E0AA354B-B26A-4742-AC39-11D4EFDD3599}"/>
  </bookViews>
  <sheets>
    <sheet name="cookie_sales_dataset_with_error" sheetId="1" r:id="rId1"/>
    <sheet name="Cookie Data Cleaned" sheetId="2" r:id="rId2"/>
    <sheet name="pivottable" sheetId="3" r:id="rId3"/>
    <sheet name="Cookies_Sales_Dataset" sheetId="4" r:id="rId4"/>
  </sheets>
  <definedNames>
    <definedName name="Slicer_Country">#N/A</definedName>
    <definedName name="Slicer_Product">#N/A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2" l="1"/>
  <c r="I3" i="2" s="1"/>
  <c r="G4" i="2"/>
  <c r="I4" i="2" s="1"/>
  <c r="G5" i="2"/>
  <c r="I5" i="2" s="1"/>
  <c r="G6" i="2"/>
  <c r="I6" i="2" s="1"/>
  <c r="G7" i="2"/>
  <c r="I7" i="2" s="1"/>
  <c r="G8" i="2"/>
  <c r="I8" i="2" s="1"/>
  <c r="G9" i="2"/>
  <c r="I9" i="2" s="1"/>
  <c r="G10" i="2"/>
  <c r="I10" i="2" s="1"/>
  <c r="G11" i="2"/>
  <c r="I11" i="2" s="1"/>
  <c r="G12" i="2"/>
  <c r="I12" i="2" s="1"/>
  <c r="G13" i="2"/>
  <c r="I13" i="2" s="1"/>
  <c r="G14" i="2"/>
  <c r="I14" i="2" s="1"/>
  <c r="G15" i="2"/>
  <c r="I15" i="2" s="1"/>
  <c r="G16" i="2"/>
  <c r="I16" i="2" s="1"/>
  <c r="G17" i="2"/>
  <c r="I17" i="2" s="1"/>
  <c r="G18" i="2"/>
  <c r="I18" i="2" s="1"/>
  <c r="G19" i="2"/>
  <c r="I19" i="2" s="1"/>
  <c r="G20" i="2"/>
  <c r="I20" i="2" s="1"/>
  <c r="G21" i="2"/>
  <c r="I21" i="2" s="1"/>
  <c r="G22" i="2"/>
  <c r="I22" i="2" s="1"/>
  <c r="G23" i="2"/>
  <c r="I23" i="2" s="1"/>
  <c r="G24" i="2"/>
  <c r="I24" i="2" s="1"/>
  <c r="G25" i="2"/>
  <c r="I25" i="2" s="1"/>
  <c r="G26" i="2"/>
  <c r="I26" i="2" s="1"/>
  <c r="G27" i="2"/>
  <c r="I27" i="2" s="1"/>
  <c r="G28" i="2"/>
  <c r="I28" i="2" s="1"/>
  <c r="G29" i="2"/>
  <c r="I29" i="2" s="1"/>
  <c r="G30" i="2"/>
  <c r="I30" i="2" s="1"/>
  <c r="G31" i="2"/>
  <c r="I31" i="2" s="1"/>
  <c r="G32" i="2"/>
  <c r="I32" i="2" s="1"/>
  <c r="G33" i="2"/>
  <c r="I33" i="2" s="1"/>
  <c r="G34" i="2"/>
  <c r="I34" i="2" s="1"/>
  <c r="G35" i="2"/>
  <c r="I35" i="2" s="1"/>
  <c r="G36" i="2"/>
  <c r="I36" i="2" s="1"/>
  <c r="G37" i="2"/>
  <c r="I37" i="2" s="1"/>
  <c r="G38" i="2"/>
  <c r="I38" i="2" s="1"/>
  <c r="G39" i="2"/>
  <c r="I39" i="2" s="1"/>
  <c r="G40" i="2"/>
  <c r="I40" i="2" s="1"/>
  <c r="G41" i="2"/>
  <c r="I41" i="2" s="1"/>
  <c r="G42" i="2"/>
  <c r="I42" i="2" s="1"/>
  <c r="G43" i="2"/>
  <c r="I43" i="2" s="1"/>
  <c r="G44" i="2"/>
  <c r="I44" i="2" s="1"/>
  <c r="G45" i="2"/>
  <c r="I45" i="2" s="1"/>
  <c r="G46" i="2"/>
  <c r="I46" i="2" s="1"/>
  <c r="G47" i="2"/>
  <c r="I47" i="2" s="1"/>
  <c r="G48" i="2"/>
  <c r="I48" i="2" s="1"/>
  <c r="G49" i="2"/>
  <c r="I49" i="2" s="1"/>
  <c r="G50" i="2"/>
  <c r="I50" i="2" s="1"/>
  <c r="G51" i="2"/>
  <c r="I51" i="2" s="1"/>
  <c r="G2" i="2"/>
  <c r="I2" i="2" s="1"/>
</calcChain>
</file>

<file path=xl/sharedStrings.xml><?xml version="1.0" encoding="utf-8"?>
<sst xmlns="http://schemas.openxmlformats.org/spreadsheetml/2006/main" count="271" uniqueCount="40">
  <si>
    <t>product_id</t>
  </si>
  <si>
    <t>product</t>
  </si>
  <si>
    <t>country</t>
  </si>
  <si>
    <t>date</t>
  </si>
  <si>
    <t>cost</t>
  </si>
  <si>
    <t>selling_price</t>
  </si>
  <si>
    <t>profit</t>
  </si>
  <si>
    <t>units_sold</t>
  </si>
  <si>
    <t>Chocolate Chip Cookie</t>
  </si>
  <si>
    <t>USA</t>
  </si>
  <si>
    <t>Oatmeal Raisin Cookie</t>
  </si>
  <si>
    <t>Canada</t>
  </si>
  <si>
    <t>Peanut Butter Cookie</t>
  </si>
  <si>
    <t>UK</t>
  </si>
  <si>
    <t>Sugar Cookie</t>
  </si>
  <si>
    <t>Australia</t>
  </si>
  <si>
    <t>Double Chocolate Cookie</t>
  </si>
  <si>
    <t>Germany</t>
  </si>
  <si>
    <t>White Chocolate Macadamia Cookie</t>
  </si>
  <si>
    <t>France</t>
  </si>
  <si>
    <t>Lemon Cookie</t>
  </si>
  <si>
    <t>Italy</t>
  </si>
  <si>
    <t>Spain</t>
  </si>
  <si>
    <t>2024-02-30</t>
  </si>
  <si>
    <t>Product</t>
  </si>
  <si>
    <t>Total Profit</t>
  </si>
  <si>
    <t>Units Sold</t>
  </si>
  <si>
    <t>Product_ID</t>
  </si>
  <si>
    <t>Country</t>
  </si>
  <si>
    <t>Profit</t>
  </si>
  <si>
    <t>Cost</t>
  </si>
  <si>
    <t>Selling Price</t>
  </si>
  <si>
    <t>Date</t>
  </si>
  <si>
    <t>Row Labels</t>
  </si>
  <si>
    <t>Grand Total</t>
  </si>
  <si>
    <t>Sum of Total Profit</t>
  </si>
  <si>
    <t>Sum of Units Sold</t>
  </si>
  <si>
    <t>Jan</t>
  </si>
  <si>
    <t>Feb</t>
  </si>
  <si>
    <t>Cookie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</si>
</sst>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809]* #,##0.00_-;\-[$£-809]* #,##0.00_-;_-[$£-809]* &quot;-&quot;??_-;_-@_-"/>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b/>
      <sz val="16"/>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33" borderId="0" xfId="0" applyFill="1"/>
    <xf numFmtId="0" fontId="19" fillId="33" borderId="0" xfId="0" applyFont="1"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font>
        <color rgb="FF9C0006"/>
      </font>
      <fill>
        <patternFill>
          <bgColor rgb="FFFFC7CE"/>
        </patternFill>
      </fill>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[Cookies_Sales_Dataset.xlsx]Cookies_Sales_Dataset!CountryProfit</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per 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Cookies_Sales_Dataset!$B$41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Cookies_Sales_Dataset!$A$42:$A$50</c:f>
              <c:strCache>
                <c:ptCount val="8"/>
                <c:pt idx="0">
                  <c:v>Australia</c:v>
                </c:pt>
                <c:pt idx="1">
                  <c:v>Canada</c:v>
                </c:pt>
                <c:pt idx="2">
                  <c:v>France</c:v>
                </c:pt>
                <c:pt idx="3">
                  <c:v>Germany</c:v>
                </c:pt>
                <c:pt idx="4">
                  <c:v>Italy</c:v>
                </c:pt>
                <c:pt idx="5">
                  <c:v>Spain</c:v>
                </c:pt>
                <c:pt idx="6">
                  <c:v>UK</c:v>
                </c:pt>
                <c:pt idx="7">
                  <c:v>USA</c:v>
                </c:pt>
              </c:strCache>
            </c:strRef>
          </c:cat>
          <c:val>
            <c:numRef>
              <c:f>Cookies_Sales_Dataset!$B$42:$B$50</c:f>
              <c:numCache>
                <c:formatCode>_-[$£-809]* #,##0.00_-;\-[$£-809]* #,##0.00_-;_-[$£-809]* "-"??_-;_-@_-</c:formatCode>
                <c:ptCount val="8"/>
                <c:pt idx="0">
                  <c:v>817.60000000000014</c:v>
                </c:pt>
                <c:pt idx="1">
                  <c:v>906.5</c:v>
                </c:pt>
                <c:pt idx="2">
                  <c:v>729.8</c:v>
                </c:pt>
                <c:pt idx="3">
                  <c:v>822.9</c:v>
                </c:pt>
                <c:pt idx="4">
                  <c:v>676.4</c:v>
                </c:pt>
                <c:pt idx="5">
                  <c:v>816.5</c:v>
                </c:pt>
                <c:pt idx="6">
                  <c:v>792.60000000000014</c:v>
                </c:pt>
                <c:pt idx="7">
                  <c:v>945.2</c:v>
                </c:pt>
              </c:numCache>
            </c:numRef>
          </c:val>
          <c:extLst>
            <c:ext xmlns:c16="http://schemas.microsoft.com/office/drawing/2014/chart" uri="{C3380CC4-5D6E-409C-BE32-E72D297353CC}">
              <c16:uniqueId val="{00000000-3C25-46F6-A4A9-8EE6A08527E7}"/>
            </c:ext>
          </c:extLst>
        </c:ser>
        <c:dLbls>
          <c:dLblPos val="inEnd"/>
          <c:showLegendKey val="0"/>
          <c:showVal val="1"/>
          <c:showCatName val="0"/>
          <c:showSerName val="0"/>
          <c:showPercent val="0"/>
          <c:showBubbleSize val="0"/>
        </c:dLbls>
        <c:gapWidth val="100"/>
        <c:overlap val="-24"/>
        <c:axId val="1376341888"/>
        <c:axId val="1376325568"/>
      </c:barChart>
      <c:catAx>
        <c:axId val="137634188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a:t>Country</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6325568"/>
        <c:crosses val="autoZero"/>
        <c:auto val="1"/>
        <c:lblAlgn val="ctr"/>
        <c:lblOffset val="100"/>
        <c:noMultiLvlLbl val="0"/>
      </c:catAx>
      <c:valAx>
        <c:axId val="1376325568"/>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a:t>Profit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809]* #,##0.00_-;\-[$£-809]* #,##0.00_-;_-[$£-8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6341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[Cookies_Sales_Dataset.xlsx]Cookies_Sales_Dataset!CountryUnitsSold</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Units Sold per 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Cookies_Sales_Dataset!$B$52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Cookies_Sales_Dataset!$A$53:$A$61</c:f>
              <c:strCache>
                <c:ptCount val="8"/>
                <c:pt idx="0">
                  <c:v>Australia</c:v>
                </c:pt>
                <c:pt idx="1">
                  <c:v>Canada</c:v>
                </c:pt>
                <c:pt idx="2">
                  <c:v>France</c:v>
                </c:pt>
                <c:pt idx="3">
                  <c:v>Germany</c:v>
                </c:pt>
                <c:pt idx="4">
                  <c:v>Italy</c:v>
                </c:pt>
                <c:pt idx="5">
                  <c:v>Spain</c:v>
                </c:pt>
                <c:pt idx="6">
                  <c:v>UK</c:v>
                </c:pt>
                <c:pt idx="7">
                  <c:v>USA</c:v>
                </c:pt>
              </c:strCache>
            </c:strRef>
          </c:cat>
          <c:val>
            <c:numRef>
              <c:f>Cookies_Sales_Dataset!$B$53:$B$61</c:f>
              <c:numCache>
                <c:formatCode>General</c:formatCode>
                <c:ptCount val="8"/>
                <c:pt idx="0">
                  <c:v>627</c:v>
                </c:pt>
                <c:pt idx="1">
                  <c:v>706</c:v>
                </c:pt>
                <c:pt idx="2">
                  <c:v>579</c:v>
                </c:pt>
                <c:pt idx="3">
                  <c:v>618</c:v>
                </c:pt>
                <c:pt idx="4">
                  <c:v>547</c:v>
                </c:pt>
                <c:pt idx="5">
                  <c:v>637</c:v>
                </c:pt>
                <c:pt idx="6">
                  <c:v>629</c:v>
                </c:pt>
                <c:pt idx="7">
                  <c:v>735</c:v>
                </c:pt>
              </c:numCache>
            </c:numRef>
          </c:val>
          <c:extLst>
            <c:ext xmlns:c16="http://schemas.microsoft.com/office/drawing/2014/chart" uri="{C3380CC4-5D6E-409C-BE32-E72D297353CC}">
              <c16:uniqueId val="{00000000-47C0-4C9C-A479-8625F26BCD75}"/>
            </c:ext>
          </c:extLst>
        </c:ser>
        <c:dLbls>
          <c:dLblPos val="inEnd"/>
          <c:showLegendKey val="0"/>
          <c:showVal val="1"/>
          <c:showCatName val="0"/>
          <c:showSerName val="0"/>
          <c:showPercent val="0"/>
          <c:showBubbleSize val="0"/>
        </c:dLbls>
        <c:gapWidth val="115"/>
        <c:overlap val="-20"/>
        <c:axId val="1991028255"/>
        <c:axId val="1991045055"/>
      </c:barChart>
      <c:catAx>
        <c:axId val="1991028255"/>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a:t>country</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91045055"/>
        <c:crosses val="autoZero"/>
        <c:auto val="1"/>
        <c:lblAlgn val="ctr"/>
        <c:lblOffset val="100"/>
        <c:noMultiLvlLbl val="0"/>
      </c:catAx>
      <c:valAx>
        <c:axId val="199104505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a:t>Units Sold</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91028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[Cookies_Sales_Dataset.xlsx]Cookies_Sales_Dataset!ProductUnitsSold</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cap="none" spc="20" baseline="0">
                <a:solidFill>
                  <a:sysClr val="windowText" lastClr="000000">
                    <a:lumMod val="50000"/>
                    <a:lumOff val="50000"/>
                  </a:sysClr>
                </a:solidFill>
                <a:latin typeface="+mn-lt"/>
                <a:ea typeface="+mn-ea"/>
                <a:cs typeface="+mn-cs"/>
              </a:defRPr>
            </a:pPr>
            <a:r>
              <a:rPr lang="en-US" sz="1400" b="0" i="0" u="none" strike="noStrike" kern="1200" cap="none" spc="20" baseline="0">
                <a:solidFill>
                  <a:sysClr val="windowText" lastClr="000000">
                    <a:lumMod val="50000"/>
                    <a:lumOff val="50000"/>
                  </a:sysClr>
                </a:solidFill>
              </a:rPr>
              <a:t>Units Sold per Cookie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cap="none" spc="20" baseline="0">
              <a:solidFill>
                <a:sysClr val="windowText" lastClr="000000">
                  <a:lumMod val="50000"/>
                  <a:lumOff val="50000"/>
                </a:sysClr>
              </a:solidFill>
              <a:latin typeface="+mn-lt"/>
              <a:ea typeface="+mn-ea"/>
              <a:cs typeface="+mn-cs"/>
            </a:defRPr>
          </a:pPr>
          <a:endParaRPr lang="en-US"/>
        </a:p>
      </c:txPr>
    </c:title>
    <c:autoTitleDeleted val="0"/>
    <c:pivotFmts>
      <c:pivotFmt>
        <c:idx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47000"/>
                  <a:lumMod val="110000"/>
                  <a:satMod val="105000"/>
                  <a:tint val="67000"/>
                </a:schemeClr>
              </a:gs>
              <a:gs pos="50000">
                <a:schemeClr val="accent2">
                  <a:shade val="47000"/>
                  <a:lumMod val="105000"/>
                  <a:satMod val="103000"/>
                  <a:tint val="73000"/>
                </a:schemeClr>
              </a:gs>
              <a:gs pos="100000">
                <a:schemeClr val="accent2">
                  <a:shade val="47000"/>
                  <a:lumMod val="105000"/>
                  <a:satMod val="109000"/>
                  <a:tint val="81000"/>
                </a:schemeClr>
              </a:gs>
            </a:gsLst>
            <a:lin ang="5400000" scaled="0"/>
          </a:gradFill>
          <a:ln w="9525" cap="flat" cmpd="sng" algn="ctr">
            <a:solidFill>
              <a:schemeClr val="accent2">
                <a:shade val="47000"/>
                <a:shade val="95000"/>
              </a:schemeClr>
            </a:solidFill>
            <a:round/>
          </a:ln>
          <a:effectLst/>
        </c:spPr>
      </c:pivotFmt>
      <c:pivotFmt>
        <c:idx val="2"/>
        <c:spPr>
          <a:gradFill rotWithShape="1">
            <a:gsLst>
              <a:gs pos="0">
                <a:schemeClr val="accent2">
                  <a:shade val="65000"/>
                  <a:lumMod val="110000"/>
                  <a:satMod val="105000"/>
                  <a:tint val="67000"/>
                </a:schemeClr>
              </a:gs>
              <a:gs pos="50000">
                <a:schemeClr val="accent2">
                  <a:shade val="65000"/>
                  <a:lumMod val="105000"/>
                  <a:satMod val="103000"/>
                  <a:tint val="73000"/>
                </a:schemeClr>
              </a:gs>
              <a:gs pos="100000">
                <a:schemeClr val="accent2">
                  <a:shade val="65000"/>
                  <a:lumMod val="105000"/>
                  <a:satMod val="109000"/>
                  <a:tint val="81000"/>
                </a:schemeClr>
              </a:gs>
            </a:gsLst>
            <a:lin ang="5400000" scaled="0"/>
          </a:gradFill>
          <a:ln w="9525" cap="flat" cmpd="sng" algn="ctr">
            <a:solidFill>
              <a:schemeClr val="accent2">
                <a:shade val="65000"/>
                <a:shade val="95000"/>
              </a:schemeClr>
            </a:solidFill>
            <a:round/>
          </a:ln>
          <a:effectLst/>
        </c:spPr>
      </c:pivotFmt>
      <c:pivotFmt>
        <c:idx val="3"/>
        <c:spPr>
          <a:gradFill rotWithShape="1">
            <a:gsLst>
              <a:gs pos="0">
                <a:schemeClr val="accent2">
                  <a:shade val="82000"/>
                  <a:lumMod val="110000"/>
                  <a:satMod val="105000"/>
                  <a:tint val="67000"/>
                </a:schemeClr>
              </a:gs>
              <a:gs pos="50000">
                <a:schemeClr val="accent2">
                  <a:shade val="82000"/>
                  <a:lumMod val="105000"/>
                  <a:satMod val="103000"/>
                  <a:tint val="73000"/>
                </a:schemeClr>
              </a:gs>
              <a:gs pos="100000">
                <a:schemeClr val="accent2">
                  <a:shade val="82000"/>
                  <a:lumMod val="105000"/>
                  <a:satMod val="109000"/>
                  <a:tint val="81000"/>
                </a:schemeClr>
              </a:gs>
            </a:gsLst>
            <a:lin ang="5400000" scaled="0"/>
          </a:gradFill>
          <a:ln w="9525" cap="flat" cmpd="sng" algn="ctr">
            <a:solidFill>
              <a:schemeClr val="accent2">
                <a:shade val="82000"/>
                <a:shade val="95000"/>
              </a:schemeClr>
            </a:solidFill>
            <a:round/>
          </a:ln>
          <a:effectLst/>
        </c:spPr>
      </c:pivotFmt>
      <c:pivotFmt>
        <c:idx val="4"/>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pivotFmt>
      <c:pivotFmt>
        <c:idx val="5"/>
        <c:spPr>
          <a:gradFill rotWithShape="1">
            <a:gsLst>
              <a:gs pos="0">
                <a:schemeClr val="accent2">
                  <a:tint val="83000"/>
                  <a:lumMod val="110000"/>
                  <a:satMod val="105000"/>
                  <a:tint val="67000"/>
                </a:schemeClr>
              </a:gs>
              <a:gs pos="50000">
                <a:schemeClr val="accent2">
                  <a:tint val="83000"/>
                  <a:lumMod val="105000"/>
                  <a:satMod val="103000"/>
                  <a:tint val="73000"/>
                </a:schemeClr>
              </a:gs>
              <a:gs pos="100000">
                <a:schemeClr val="accent2">
                  <a:tint val="83000"/>
                  <a:lumMod val="105000"/>
                  <a:satMod val="109000"/>
                  <a:tint val="81000"/>
                </a:schemeClr>
              </a:gs>
            </a:gsLst>
            <a:lin ang="5400000" scaled="0"/>
          </a:gradFill>
          <a:ln w="9525" cap="flat" cmpd="sng" algn="ctr">
            <a:solidFill>
              <a:schemeClr val="accent2">
                <a:tint val="83000"/>
                <a:shade val="95000"/>
              </a:schemeClr>
            </a:solidFill>
            <a:round/>
          </a:ln>
          <a:effectLst/>
        </c:spPr>
      </c:pivotFmt>
      <c:pivotFmt>
        <c:idx val="6"/>
        <c:spPr>
          <a:gradFill rotWithShape="1">
            <a:gsLst>
              <a:gs pos="0">
                <a:schemeClr val="accent2">
                  <a:tint val="65000"/>
                  <a:lumMod val="110000"/>
                  <a:satMod val="105000"/>
                  <a:tint val="67000"/>
                </a:schemeClr>
              </a:gs>
              <a:gs pos="50000">
                <a:schemeClr val="accent2">
                  <a:tint val="65000"/>
                  <a:lumMod val="105000"/>
                  <a:satMod val="103000"/>
                  <a:tint val="73000"/>
                </a:schemeClr>
              </a:gs>
              <a:gs pos="100000">
                <a:schemeClr val="accent2">
                  <a:tint val="65000"/>
                  <a:lumMod val="105000"/>
                  <a:satMod val="109000"/>
                  <a:tint val="81000"/>
                </a:schemeClr>
              </a:gs>
            </a:gsLst>
            <a:lin ang="5400000" scaled="0"/>
          </a:gradFill>
          <a:ln w="9525" cap="flat" cmpd="sng" algn="ctr">
            <a:solidFill>
              <a:schemeClr val="accent2">
                <a:tint val="65000"/>
                <a:shade val="95000"/>
              </a:schemeClr>
            </a:solidFill>
            <a:round/>
          </a:ln>
          <a:effectLst/>
        </c:spPr>
      </c:pivotFmt>
      <c:pivotFmt>
        <c:idx val="7"/>
        <c:spPr>
          <a:gradFill rotWithShape="1">
            <a:gsLst>
              <a:gs pos="0">
                <a:schemeClr val="accent2">
                  <a:tint val="48000"/>
                  <a:lumMod val="110000"/>
                  <a:satMod val="105000"/>
                  <a:tint val="67000"/>
                </a:schemeClr>
              </a:gs>
              <a:gs pos="50000">
                <a:schemeClr val="accent2">
                  <a:tint val="48000"/>
                  <a:lumMod val="105000"/>
                  <a:satMod val="103000"/>
                  <a:tint val="73000"/>
                </a:schemeClr>
              </a:gs>
              <a:gs pos="100000">
                <a:schemeClr val="accent2">
                  <a:tint val="48000"/>
                  <a:lumMod val="105000"/>
                  <a:satMod val="109000"/>
                  <a:tint val="81000"/>
                </a:schemeClr>
              </a:gs>
            </a:gsLst>
            <a:lin ang="5400000" scaled="0"/>
          </a:gradFill>
          <a:ln w="9525" cap="flat" cmpd="sng" algn="ctr">
            <a:solidFill>
              <a:schemeClr val="accent2">
                <a:tint val="48000"/>
                <a:shade val="95000"/>
              </a:schemeClr>
            </a:solidFill>
            <a:round/>
          </a:ln>
          <a:effectLst/>
        </c:spPr>
      </c:pivotFmt>
    </c:pivotFmts>
    <c:plotArea>
      <c:layout/>
      <c:pieChart>
        <c:varyColors val="1"/>
        <c:ser>
          <c:idx val="0"/>
          <c:order val="0"/>
          <c:tx>
            <c:strRef>
              <c:f>Cookies_Sales_Dataset!$E$52</c:f>
              <c:strCache>
                <c:ptCount val="1"/>
                <c:pt idx="0">
                  <c:v>Total</c:v>
                </c:pt>
              </c:strCache>
            </c:strRef>
          </c:tx>
          <c:dPt>
            <c:idx val="0"/>
            <c:bubble3D val="0"/>
            <c:spPr>
              <a:gradFill rotWithShape="1">
                <a:gsLst>
                  <a:gs pos="0">
                    <a:schemeClr val="accent2">
                      <a:shade val="47000"/>
                      <a:lumMod val="110000"/>
                      <a:satMod val="105000"/>
                      <a:tint val="67000"/>
                    </a:schemeClr>
                  </a:gs>
                  <a:gs pos="50000">
                    <a:schemeClr val="accent2">
                      <a:shade val="47000"/>
                      <a:lumMod val="105000"/>
                      <a:satMod val="103000"/>
                      <a:tint val="73000"/>
                    </a:schemeClr>
                  </a:gs>
                  <a:gs pos="100000">
                    <a:schemeClr val="accent2">
                      <a:shade val="47000"/>
                      <a:lumMod val="105000"/>
                      <a:satMod val="109000"/>
                      <a:tint val="81000"/>
                    </a:schemeClr>
                  </a:gs>
                </a:gsLst>
                <a:lin ang="5400000" scaled="0"/>
              </a:gradFill>
              <a:ln w="9525" cap="flat" cmpd="sng" algn="ctr">
                <a:solidFill>
                  <a:schemeClr val="accent2">
                    <a:shade val="47000"/>
                    <a:shade val="95000"/>
                  </a:schemeClr>
                </a:solidFill>
                <a:round/>
              </a:ln>
              <a:effectLst/>
            </c:spPr>
            <c:extLst>
              <c:ext xmlns:c16="http://schemas.microsoft.com/office/drawing/2014/chart" uri="{C3380CC4-5D6E-409C-BE32-E72D297353CC}">
                <c16:uniqueId val="{00000001-8FFA-47A0-98D4-43B883FC36DB}"/>
              </c:ext>
            </c:extLst>
          </c:dPt>
          <c:dPt>
            <c:idx val="1"/>
            <c:bubble3D val="0"/>
            <c:spPr>
              <a:gradFill rotWithShape="1">
                <a:gsLst>
                  <a:gs pos="0">
                    <a:schemeClr val="accent2">
                      <a:shade val="65000"/>
                      <a:lumMod val="110000"/>
                      <a:satMod val="105000"/>
                      <a:tint val="67000"/>
                    </a:schemeClr>
                  </a:gs>
                  <a:gs pos="50000">
                    <a:schemeClr val="accent2">
                      <a:shade val="65000"/>
                      <a:lumMod val="105000"/>
                      <a:satMod val="103000"/>
                      <a:tint val="73000"/>
                    </a:schemeClr>
                  </a:gs>
                  <a:gs pos="100000">
                    <a:schemeClr val="accent2">
                      <a:shade val="65000"/>
                      <a:lumMod val="105000"/>
                      <a:satMod val="109000"/>
                      <a:tint val="81000"/>
                    </a:schemeClr>
                  </a:gs>
                </a:gsLst>
                <a:lin ang="5400000" scaled="0"/>
              </a:gradFill>
              <a:ln w="9525" cap="flat" cmpd="sng" algn="ctr">
                <a:solidFill>
                  <a:schemeClr val="accent2">
                    <a:shade val="65000"/>
                    <a:shade val="95000"/>
                  </a:schemeClr>
                </a:solidFill>
                <a:round/>
              </a:ln>
              <a:effectLst/>
            </c:spPr>
            <c:extLst>
              <c:ext xmlns:c16="http://schemas.microsoft.com/office/drawing/2014/chart" uri="{C3380CC4-5D6E-409C-BE32-E72D297353CC}">
                <c16:uniqueId val="{00000003-8FFA-47A0-98D4-43B883FC36DB}"/>
              </c:ext>
            </c:extLst>
          </c:dPt>
          <c:dPt>
            <c:idx val="2"/>
            <c:bubble3D val="0"/>
            <c:spPr>
              <a:gradFill rotWithShape="1">
                <a:gsLst>
                  <a:gs pos="0">
                    <a:schemeClr val="accent2">
                      <a:shade val="82000"/>
                      <a:lumMod val="110000"/>
                      <a:satMod val="105000"/>
                      <a:tint val="67000"/>
                    </a:schemeClr>
                  </a:gs>
                  <a:gs pos="50000">
                    <a:schemeClr val="accent2">
                      <a:shade val="82000"/>
                      <a:lumMod val="105000"/>
                      <a:satMod val="103000"/>
                      <a:tint val="73000"/>
                    </a:schemeClr>
                  </a:gs>
                  <a:gs pos="100000">
                    <a:schemeClr val="accent2">
                      <a:shade val="82000"/>
                      <a:lumMod val="105000"/>
                      <a:satMod val="109000"/>
                      <a:tint val="81000"/>
                    </a:schemeClr>
                  </a:gs>
                </a:gsLst>
                <a:lin ang="5400000" scaled="0"/>
              </a:gradFill>
              <a:ln w="9525" cap="flat" cmpd="sng" algn="ctr">
                <a:solidFill>
                  <a:schemeClr val="accent2">
                    <a:shade val="82000"/>
                    <a:shade val="95000"/>
                  </a:schemeClr>
                </a:solidFill>
                <a:round/>
              </a:ln>
              <a:effectLst/>
            </c:spPr>
            <c:extLst>
              <c:ext xmlns:c16="http://schemas.microsoft.com/office/drawing/2014/chart" uri="{C3380CC4-5D6E-409C-BE32-E72D297353CC}">
                <c16:uniqueId val="{00000005-8FFA-47A0-98D4-43B883FC36DB}"/>
              </c:ext>
            </c:extLst>
          </c:dPt>
          <c:dPt>
            <c:idx val="3"/>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7-8FFA-47A0-98D4-43B883FC36DB}"/>
              </c:ext>
            </c:extLst>
          </c:dPt>
          <c:dPt>
            <c:idx val="4"/>
            <c:bubble3D val="0"/>
            <c:spPr>
              <a:gradFill rotWithShape="1">
                <a:gsLst>
                  <a:gs pos="0">
                    <a:schemeClr val="accent2">
                      <a:tint val="83000"/>
                      <a:lumMod val="110000"/>
                      <a:satMod val="105000"/>
                      <a:tint val="67000"/>
                    </a:schemeClr>
                  </a:gs>
                  <a:gs pos="50000">
                    <a:schemeClr val="accent2">
                      <a:tint val="83000"/>
                      <a:lumMod val="105000"/>
                      <a:satMod val="103000"/>
                      <a:tint val="73000"/>
                    </a:schemeClr>
                  </a:gs>
                  <a:gs pos="100000">
                    <a:schemeClr val="accent2">
                      <a:tint val="83000"/>
                      <a:lumMod val="105000"/>
                      <a:satMod val="109000"/>
                      <a:tint val="81000"/>
                    </a:schemeClr>
                  </a:gs>
                </a:gsLst>
                <a:lin ang="5400000" scaled="0"/>
              </a:gradFill>
              <a:ln w="9525" cap="flat" cmpd="sng" algn="ctr">
                <a:solidFill>
                  <a:schemeClr val="accent2">
                    <a:tint val="83000"/>
                    <a:shade val="95000"/>
                  </a:schemeClr>
                </a:solidFill>
                <a:round/>
              </a:ln>
              <a:effectLst/>
            </c:spPr>
            <c:extLst>
              <c:ext xmlns:c16="http://schemas.microsoft.com/office/drawing/2014/chart" uri="{C3380CC4-5D6E-409C-BE32-E72D297353CC}">
                <c16:uniqueId val="{00000009-8FFA-47A0-98D4-43B883FC36DB}"/>
              </c:ext>
            </c:extLst>
          </c:dPt>
          <c:dPt>
            <c:idx val="5"/>
            <c:bubble3D val="0"/>
            <c:spPr>
              <a:gradFill rotWithShape="1">
                <a:gsLst>
                  <a:gs pos="0">
                    <a:schemeClr val="accent2">
                      <a:tint val="65000"/>
                      <a:lumMod val="110000"/>
                      <a:satMod val="105000"/>
                      <a:tint val="67000"/>
                    </a:schemeClr>
                  </a:gs>
                  <a:gs pos="50000">
                    <a:schemeClr val="accent2">
                      <a:tint val="65000"/>
                      <a:lumMod val="105000"/>
                      <a:satMod val="103000"/>
                      <a:tint val="73000"/>
                    </a:schemeClr>
                  </a:gs>
                  <a:gs pos="100000">
                    <a:schemeClr val="accent2">
                      <a:tint val="65000"/>
                      <a:lumMod val="105000"/>
                      <a:satMod val="109000"/>
                      <a:tint val="81000"/>
                    </a:schemeClr>
                  </a:gs>
                </a:gsLst>
                <a:lin ang="5400000" scaled="0"/>
              </a:gradFill>
              <a:ln w="9525" cap="flat" cmpd="sng" algn="ctr">
                <a:solidFill>
                  <a:schemeClr val="accent2">
                    <a:tint val="65000"/>
                    <a:shade val="95000"/>
                  </a:schemeClr>
                </a:solidFill>
                <a:round/>
              </a:ln>
              <a:effectLst/>
            </c:spPr>
            <c:extLst>
              <c:ext xmlns:c16="http://schemas.microsoft.com/office/drawing/2014/chart" uri="{C3380CC4-5D6E-409C-BE32-E72D297353CC}">
                <c16:uniqueId val="{0000000B-8FFA-47A0-98D4-43B883FC36DB}"/>
              </c:ext>
            </c:extLst>
          </c:dPt>
          <c:dPt>
            <c:idx val="6"/>
            <c:bubble3D val="0"/>
            <c:spPr>
              <a:gradFill rotWithShape="1">
                <a:gsLst>
                  <a:gs pos="0">
                    <a:schemeClr val="accent2">
                      <a:tint val="48000"/>
                      <a:lumMod val="110000"/>
                      <a:satMod val="105000"/>
                      <a:tint val="67000"/>
                    </a:schemeClr>
                  </a:gs>
                  <a:gs pos="50000">
                    <a:schemeClr val="accent2">
                      <a:tint val="48000"/>
                      <a:lumMod val="105000"/>
                      <a:satMod val="103000"/>
                      <a:tint val="73000"/>
                    </a:schemeClr>
                  </a:gs>
                  <a:gs pos="100000">
                    <a:schemeClr val="accent2">
                      <a:tint val="48000"/>
                      <a:lumMod val="105000"/>
                      <a:satMod val="109000"/>
                      <a:tint val="81000"/>
                    </a:schemeClr>
                  </a:gs>
                </a:gsLst>
                <a:lin ang="5400000" scaled="0"/>
              </a:gradFill>
              <a:ln w="9525" cap="flat" cmpd="sng" algn="ctr">
                <a:solidFill>
                  <a:schemeClr val="accent2">
                    <a:tint val="48000"/>
                    <a:shade val="95000"/>
                  </a:schemeClr>
                </a:solidFill>
                <a:round/>
              </a:ln>
              <a:effectLst/>
            </c:spPr>
            <c:extLst>
              <c:ext xmlns:c16="http://schemas.microsoft.com/office/drawing/2014/chart" uri="{C3380CC4-5D6E-409C-BE32-E72D297353CC}">
                <c16:uniqueId val="{0000000D-8FFA-47A0-98D4-43B883FC36D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Cookies_Sales_Dataset!$D$53:$D$60</c:f>
              <c:strCache>
                <c:ptCount val="7"/>
                <c:pt idx="0">
                  <c:v>Chocolate Chip Cookie</c:v>
                </c:pt>
                <c:pt idx="1">
                  <c:v>Double Chocolate Cookie</c:v>
                </c:pt>
                <c:pt idx="2">
                  <c:v>Lemon Cookie</c:v>
                </c:pt>
                <c:pt idx="3">
                  <c:v>Oatmeal Raisin Cookie</c:v>
                </c:pt>
                <c:pt idx="4">
                  <c:v>Peanut Butter Cookie</c:v>
                </c:pt>
                <c:pt idx="5">
                  <c:v>Sugar Cookie</c:v>
                </c:pt>
                <c:pt idx="6">
                  <c:v>White Chocolate Macadamia Cookie</c:v>
                </c:pt>
              </c:strCache>
            </c:strRef>
          </c:cat>
          <c:val>
            <c:numRef>
              <c:f>Cookies_Sales_Dataset!$E$53:$E$60</c:f>
              <c:numCache>
                <c:formatCode>General</c:formatCode>
                <c:ptCount val="7"/>
                <c:pt idx="0">
                  <c:v>832</c:v>
                </c:pt>
                <c:pt idx="1">
                  <c:v>904</c:v>
                </c:pt>
                <c:pt idx="2">
                  <c:v>639</c:v>
                </c:pt>
                <c:pt idx="3">
                  <c:v>672</c:v>
                </c:pt>
                <c:pt idx="4">
                  <c:v>741</c:v>
                </c:pt>
                <c:pt idx="5">
                  <c:v>688</c:v>
                </c:pt>
                <c:pt idx="6">
                  <c:v>602</c:v>
                </c:pt>
              </c:numCache>
            </c:numRef>
          </c:val>
          <c:extLst>
            <c:ext xmlns:c16="http://schemas.microsoft.com/office/drawing/2014/chart" uri="{C3380CC4-5D6E-409C-BE32-E72D297353CC}">
              <c16:uniqueId val="{00000000-77C6-4831-A39F-182D746432D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[Cookies_Sales_Dataset.xlsx]Cookies_Sales_Dataset!ProductProfit</c:name>
    <c:fmtId val="0"/>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Profit per Cookie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47000"/>
                  <a:lumMod val="110000"/>
                  <a:satMod val="105000"/>
                  <a:tint val="67000"/>
                </a:schemeClr>
              </a:gs>
              <a:gs pos="50000">
                <a:schemeClr val="accent2">
                  <a:shade val="47000"/>
                  <a:lumMod val="105000"/>
                  <a:satMod val="103000"/>
                  <a:tint val="73000"/>
                </a:schemeClr>
              </a:gs>
              <a:gs pos="100000">
                <a:schemeClr val="accent2">
                  <a:shade val="47000"/>
                  <a:lumMod val="105000"/>
                  <a:satMod val="109000"/>
                  <a:tint val="81000"/>
                </a:schemeClr>
              </a:gs>
            </a:gsLst>
            <a:lin ang="5400000" scaled="0"/>
          </a:gradFill>
          <a:ln w="9525" cap="flat" cmpd="sng" algn="ctr">
            <a:solidFill>
              <a:schemeClr val="accent2">
                <a:shade val="47000"/>
                <a:shade val="95000"/>
              </a:schemeClr>
            </a:solidFill>
            <a:round/>
          </a:ln>
          <a:effectLst/>
        </c:spPr>
      </c:pivotFmt>
      <c:pivotFmt>
        <c:idx val="2"/>
        <c:spPr>
          <a:gradFill rotWithShape="1">
            <a:gsLst>
              <a:gs pos="0">
                <a:schemeClr val="accent2">
                  <a:shade val="65000"/>
                  <a:lumMod val="110000"/>
                  <a:satMod val="105000"/>
                  <a:tint val="67000"/>
                </a:schemeClr>
              </a:gs>
              <a:gs pos="50000">
                <a:schemeClr val="accent2">
                  <a:shade val="65000"/>
                  <a:lumMod val="105000"/>
                  <a:satMod val="103000"/>
                  <a:tint val="73000"/>
                </a:schemeClr>
              </a:gs>
              <a:gs pos="100000">
                <a:schemeClr val="accent2">
                  <a:shade val="65000"/>
                  <a:lumMod val="105000"/>
                  <a:satMod val="109000"/>
                  <a:tint val="81000"/>
                </a:schemeClr>
              </a:gs>
            </a:gsLst>
            <a:lin ang="5400000" scaled="0"/>
          </a:gradFill>
          <a:ln w="9525" cap="flat" cmpd="sng" algn="ctr">
            <a:solidFill>
              <a:schemeClr val="accent2">
                <a:shade val="65000"/>
                <a:shade val="95000"/>
              </a:schemeClr>
            </a:solidFill>
            <a:round/>
          </a:ln>
          <a:effectLst/>
        </c:spPr>
      </c:pivotFmt>
      <c:pivotFmt>
        <c:idx val="3"/>
        <c:spPr>
          <a:gradFill rotWithShape="1">
            <a:gsLst>
              <a:gs pos="0">
                <a:schemeClr val="accent2">
                  <a:shade val="82000"/>
                  <a:lumMod val="110000"/>
                  <a:satMod val="105000"/>
                  <a:tint val="67000"/>
                </a:schemeClr>
              </a:gs>
              <a:gs pos="50000">
                <a:schemeClr val="accent2">
                  <a:shade val="82000"/>
                  <a:lumMod val="105000"/>
                  <a:satMod val="103000"/>
                  <a:tint val="73000"/>
                </a:schemeClr>
              </a:gs>
              <a:gs pos="100000">
                <a:schemeClr val="accent2">
                  <a:shade val="82000"/>
                  <a:lumMod val="105000"/>
                  <a:satMod val="109000"/>
                  <a:tint val="81000"/>
                </a:schemeClr>
              </a:gs>
            </a:gsLst>
            <a:lin ang="5400000" scaled="0"/>
          </a:gradFill>
          <a:ln w="9525" cap="flat" cmpd="sng" algn="ctr">
            <a:solidFill>
              <a:schemeClr val="accent2">
                <a:shade val="82000"/>
                <a:shade val="95000"/>
              </a:schemeClr>
            </a:solidFill>
            <a:round/>
          </a:ln>
          <a:effectLst/>
        </c:spPr>
      </c:pivotFmt>
      <c:pivotFmt>
        <c:idx val="4"/>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pivotFmt>
      <c:pivotFmt>
        <c:idx val="5"/>
        <c:spPr>
          <a:gradFill rotWithShape="1">
            <a:gsLst>
              <a:gs pos="0">
                <a:schemeClr val="accent2">
                  <a:tint val="83000"/>
                  <a:lumMod val="110000"/>
                  <a:satMod val="105000"/>
                  <a:tint val="67000"/>
                </a:schemeClr>
              </a:gs>
              <a:gs pos="50000">
                <a:schemeClr val="accent2">
                  <a:tint val="83000"/>
                  <a:lumMod val="105000"/>
                  <a:satMod val="103000"/>
                  <a:tint val="73000"/>
                </a:schemeClr>
              </a:gs>
              <a:gs pos="100000">
                <a:schemeClr val="accent2">
                  <a:tint val="83000"/>
                  <a:lumMod val="105000"/>
                  <a:satMod val="109000"/>
                  <a:tint val="81000"/>
                </a:schemeClr>
              </a:gs>
            </a:gsLst>
            <a:lin ang="5400000" scaled="0"/>
          </a:gradFill>
          <a:ln w="9525" cap="flat" cmpd="sng" algn="ctr">
            <a:solidFill>
              <a:schemeClr val="accent2">
                <a:tint val="83000"/>
                <a:shade val="95000"/>
              </a:schemeClr>
            </a:solidFill>
            <a:round/>
          </a:ln>
          <a:effectLst/>
        </c:spPr>
      </c:pivotFmt>
      <c:pivotFmt>
        <c:idx val="6"/>
        <c:spPr>
          <a:gradFill rotWithShape="1">
            <a:gsLst>
              <a:gs pos="0">
                <a:schemeClr val="accent2">
                  <a:tint val="65000"/>
                  <a:lumMod val="110000"/>
                  <a:satMod val="105000"/>
                  <a:tint val="67000"/>
                </a:schemeClr>
              </a:gs>
              <a:gs pos="50000">
                <a:schemeClr val="accent2">
                  <a:tint val="65000"/>
                  <a:lumMod val="105000"/>
                  <a:satMod val="103000"/>
                  <a:tint val="73000"/>
                </a:schemeClr>
              </a:gs>
              <a:gs pos="100000">
                <a:schemeClr val="accent2">
                  <a:tint val="65000"/>
                  <a:lumMod val="105000"/>
                  <a:satMod val="109000"/>
                  <a:tint val="81000"/>
                </a:schemeClr>
              </a:gs>
            </a:gsLst>
            <a:lin ang="5400000" scaled="0"/>
          </a:gradFill>
          <a:ln w="9525" cap="flat" cmpd="sng" algn="ctr">
            <a:solidFill>
              <a:schemeClr val="accent2">
                <a:tint val="65000"/>
                <a:shade val="95000"/>
              </a:schemeClr>
            </a:solidFill>
            <a:round/>
          </a:ln>
          <a:effectLst/>
        </c:spPr>
      </c:pivotFmt>
      <c:pivotFmt>
        <c:idx val="7"/>
        <c:spPr>
          <a:gradFill rotWithShape="1">
            <a:gsLst>
              <a:gs pos="0">
                <a:schemeClr val="accent2">
                  <a:tint val="48000"/>
                  <a:lumMod val="110000"/>
                  <a:satMod val="105000"/>
                  <a:tint val="67000"/>
                </a:schemeClr>
              </a:gs>
              <a:gs pos="50000">
                <a:schemeClr val="accent2">
                  <a:tint val="48000"/>
                  <a:lumMod val="105000"/>
                  <a:satMod val="103000"/>
                  <a:tint val="73000"/>
                </a:schemeClr>
              </a:gs>
              <a:gs pos="100000">
                <a:schemeClr val="accent2">
                  <a:tint val="48000"/>
                  <a:lumMod val="105000"/>
                  <a:satMod val="109000"/>
                  <a:tint val="81000"/>
                </a:schemeClr>
              </a:gs>
            </a:gsLst>
            <a:lin ang="5400000" scaled="0"/>
          </a:gradFill>
          <a:ln w="9525" cap="flat" cmpd="sng" algn="ctr">
            <a:solidFill>
              <a:schemeClr val="accent2">
                <a:tint val="48000"/>
                <a:shade val="95000"/>
              </a:schemeClr>
            </a:solidFill>
            <a:round/>
          </a:ln>
          <a:effectLst/>
        </c:spPr>
      </c:pivotFmt>
    </c:pivotFmts>
    <c:plotArea>
      <c:layout/>
      <c:pieChart>
        <c:varyColors val="1"/>
        <c:ser>
          <c:idx val="0"/>
          <c:order val="0"/>
          <c:tx>
            <c:strRef>
              <c:f>Cookies_Sales_Dataset!$E$41</c:f>
              <c:strCache>
                <c:ptCount val="1"/>
                <c:pt idx="0">
                  <c:v>Total</c:v>
                </c:pt>
              </c:strCache>
            </c:strRef>
          </c:tx>
          <c:dPt>
            <c:idx val="0"/>
            <c:bubble3D val="0"/>
            <c:spPr>
              <a:gradFill rotWithShape="1">
                <a:gsLst>
                  <a:gs pos="0">
                    <a:schemeClr val="accent2">
                      <a:shade val="47000"/>
                      <a:lumMod val="110000"/>
                      <a:satMod val="105000"/>
                      <a:tint val="67000"/>
                    </a:schemeClr>
                  </a:gs>
                  <a:gs pos="50000">
                    <a:schemeClr val="accent2">
                      <a:shade val="47000"/>
                      <a:lumMod val="105000"/>
                      <a:satMod val="103000"/>
                      <a:tint val="73000"/>
                    </a:schemeClr>
                  </a:gs>
                  <a:gs pos="100000">
                    <a:schemeClr val="accent2">
                      <a:shade val="47000"/>
                      <a:lumMod val="105000"/>
                      <a:satMod val="109000"/>
                      <a:tint val="81000"/>
                    </a:schemeClr>
                  </a:gs>
                </a:gsLst>
                <a:lin ang="5400000" scaled="0"/>
              </a:gradFill>
              <a:ln w="9525" cap="flat" cmpd="sng" algn="ctr">
                <a:solidFill>
                  <a:schemeClr val="accent2">
                    <a:shade val="47000"/>
                    <a:shade val="95000"/>
                  </a:schemeClr>
                </a:solidFill>
                <a:round/>
              </a:ln>
              <a:effectLst/>
            </c:spPr>
            <c:extLst>
              <c:ext xmlns:c16="http://schemas.microsoft.com/office/drawing/2014/chart" uri="{C3380CC4-5D6E-409C-BE32-E72D297353CC}">
                <c16:uniqueId val="{00000001-BDBE-4693-A0B0-CB361803D550}"/>
              </c:ext>
            </c:extLst>
          </c:dPt>
          <c:dPt>
            <c:idx val="1"/>
            <c:bubble3D val="0"/>
            <c:spPr>
              <a:gradFill rotWithShape="1">
                <a:gsLst>
                  <a:gs pos="0">
                    <a:schemeClr val="accent2">
                      <a:shade val="65000"/>
                      <a:lumMod val="110000"/>
                      <a:satMod val="105000"/>
                      <a:tint val="67000"/>
                    </a:schemeClr>
                  </a:gs>
                  <a:gs pos="50000">
                    <a:schemeClr val="accent2">
                      <a:shade val="65000"/>
                      <a:lumMod val="105000"/>
                      <a:satMod val="103000"/>
                      <a:tint val="73000"/>
                    </a:schemeClr>
                  </a:gs>
                  <a:gs pos="100000">
                    <a:schemeClr val="accent2">
                      <a:shade val="65000"/>
                      <a:lumMod val="105000"/>
                      <a:satMod val="109000"/>
                      <a:tint val="81000"/>
                    </a:schemeClr>
                  </a:gs>
                </a:gsLst>
                <a:lin ang="5400000" scaled="0"/>
              </a:gradFill>
              <a:ln w="9525" cap="flat" cmpd="sng" algn="ctr">
                <a:solidFill>
                  <a:schemeClr val="accent2">
                    <a:shade val="65000"/>
                    <a:shade val="95000"/>
                  </a:schemeClr>
                </a:solidFill>
                <a:round/>
              </a:ln>
              <a:effectLst/>
            </c:spPr>
            <c:extLst>
              <c:ext xmlns:c16="http://schemas.microsoft.com/office/drawing/2014/chart" uri="{C3380CC4-5D6E-409C-BE32-E72D297353CC}">
                <c16:uniqueId val="{00000003-BDBE-4693-A0B0-CB361803D550}"/>
              </c:ext>
            </c:extLst>
          </c:dPt>
          <c:dPt>
            <c:idx val="2"/>
            <c:bubble3D val="0"/>
            <c:spPr>
              <a:gradFill rotWithShape="1">
                <a:gsLst>
                  <a:gs pos="0">
                    <a:schemeClr val="accent2">
                      <a:shade val="82000"/>
                      <a:lumMod val="110000"/>
                      <a:satMod val="105000"/>
                      <a:tint val="67000"/>
                    </a:schemeClr>
                  </a:gs>
                  <a:gs pos="50000">
                    <a:schemeClr val="accent2">
                      <a:shade val="82000"/>
                      <a:lumMod val="105000"/>
                      <a:satMod val="103000"/>
                      <a:tint val="73000"/>
                    </a:schemeClr>
                  </a:gs>
                  <a:gs pos="100000">
                    <a:schemeClr val="accent2">
                      <a:shade val="82000"/>
                      <a:lumMod val="105000"/>
                      <a:satMod val="109000"/>
                      <a:tint val="81000"/>
                    </a:schemeClr>
                  </a:gs>
                </a:gsLst>
                <a:lin ang="5400000" scaled="0"/>
              </a:gradFill>
              <a:ln w="9525" cap="flat" cmpd="sng" algn="ctr">
                <a:solidFill>
                  <a:schemeClr val="accent2">
                    <a:shade val="82000"/>
                    <a:shade val="95000"/>
                  </a:schemeClr>
                </a:solidFill>
                <a:round/>
              </a:ln>
              <a:effectLst/>
            </c:spPr>
            <c:extLst>
              <c:ext xmlns:c16="http://schemas.microsoft.com/office/drawing/2014/chart" uri="{C3380CC4-5D6E-409C-BE32-E72D297353CC}">
                <c16:uniqueId val="{00000005-BDBE-4693-A0B0-CB361803D550}"/>
              </c:ext>
            </c:extLst>
          </c:dPt>
          <c:dPt>
            <c:idx val="3"/>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7-BDBE-4693-A0B0-CB361803D550}"/>
              </c:ext>
            </c:extLst>
          </c:dPt>
          <c:dPt>
            <c:idx val="4"/>
            <c:bubble3D val="0"/>
            <c:spPr>
              <a:gradFill rotWithShape="1">
                <a:gsLst>
                  <a:gs pos="0">
                    <a:schemeClr val="accent2">
                      <a:tint val="83000"/>
                      <a:lumMod val="110000"/>
                      <a:satMod val="105000"/>
                      <a:tint val="67000"/>
                    </a:schemeClr>
                  </a:gs>
                  <a:gs pos="50000">
                    <a:schemeClr val="accent2">
                      <a:tint val="83000"/>
                      <a:lumMod val="105000"/>
                      <a:satMod val="103000"/>
                      <a:tint val="73000"/>
                    </a:schemeClr>
                  </a:gs>
                  <a:gs pos="100000">
                    <a:schemeClr val="accent2">
                      <a:tint val="83000"/>
                      <a:lumMod val="105000"/>
                      <a:satMod val="109000"/>
                      <a:tint val="81000"/>
                    </a:schemeClr>
                  </a:gs>
                </a:gsLst>
                <a:lin ang="5400000" scaled="0"/>
              </a:gradFill>
              <a:ln w="9525" cap="flat" cmpd="sng" algn="ctr">
                <a:solidFill>
                  <a:schemeClr val="accent2">
                    <a:tint val="83000"/>
                    <a:shade val="95000"/>
                  </a:schemeClr>
                </a:solidFill>
                <a:round/>
              </a:ln>
              <a:effectLst/>
            </c:spPr>
            <c:extLst>
              <c:ext xmlns:c16="http://schemas.microsoft.com/office/drawing/2014/chart" uri="{C3380CC4-5D6E-409C-BE32-E72D297353CC}">
                <c16:uniqueId val="{00000009-BDBE-4693-A0B0-CB361803D550}"/>
              </c:ext>
            </c:extLst>
          </c:dPt>
          <c:dPt>
            <c:idx val="5"/>
            <c:bubble3D val="0"/>
            <c:spPr>
              <a:gradFill rotWithShape="1">
                <a:gsLst>
                  <a:gs pos="0">
                    <a:schemeClr val="accent2">
                      <a:tint val="65000"/>
                      <a:lumMod val="110000"/>
                      <a:satMod val="105000"/>
                      <a:tint val="67000"/>
                    </a:schemeClr>
                  </a:gs>
                  <a:gs pos="50000">
                    <a:schemeClr val="accent2">
                      <a:tint val="65000"/>
                      <a:lumMod val="105000"/>
                      <a:satMod val="103000"/>
                      <a:tint val="73000"/>
                    </a:schemeClr>
                  </a:gs>
                  <a:gs pos="100000">
                    <a:schemeClr val="accent2">
                      <a:tint val="65000"/>
                      <a:lumMod val="105000"/>
                      <a:satMod val="109000"/>
                      <a:tint val="81000"/>
                    </a:schemeClr>
                  </a:gs>
                </a:gsLst>
                <a:lin ang="5400000" scaled="0"/>
              </a:gradFill>
              <a:ln w="9525" cap="flat" cmpd="sng" algn="ctr">
                <a:solidFill>
                  <a:schemeClr val="accent2">
                    <a:tint val="65000"/>
                    <a:shade val="95000"/>
                  </a:schemeClr>
                </a:solidFill>
                <a:round/>
              </a:ln>
              <a:effectLst/>
            </c:spPr>
            <c:extLst>
              <c:ext xmlns:c16="http://schemas.microsoft.com/office/drawing/2014/chart" uri="{C3380CC4-5D6E-409C-BE32-E72D297353CC}">
                <c16:uniqueId val="{0000000B-BDBE-4693-A0B0-CB361803D550}"/>
              </c:ext>
            </c:extLst>
          </c:dPt>
          <c:dPt>
            <c:idx val="6"/>
            <c:bubble3D val="0"/>
            <c:spPr>
              <a:gradFill rotWithShape="1">
                <a:gsLst>
                  <a:gs pos="0">
                    <a:schemeClr val="accent2">
                      <a:tint val="48000"/>
                      <a:lumMod val="110000"/>
                      <a:satMod val="105000"/>
                      <a:tint val="67000"/>
                    </a:schemeClr>
                  </a:gs>
                  <a:gs pos="50000">
                    <a:schemeClr val="accent2">
                      <a:tint val="48000"/>
                      <a:lumMod val="105000"/>
                      <a:satMod val="103000"/>
                      <a:tint val="73000"/>
                    </a:schemeClr>
                  </a:gs>
                  <a:gs pos="100000">
                    <a:schemeClr val="accent2">
                      <a:tint val="48000"/>
                      <a:lumMod val="105000"/>
                      <a:satMod val="109000"/>
                      <a:tint val="81000"/>
                    </a:schemeClr>
                  </a:gs>
                </a:gsLst>
                <a:lin ang="5400000" scaled="0"/>
              </a:gradFill>
              <a:ln w="9525" cap="flat" cmpd="sng" algn="ctr">
                <a:solidFill>
                  <a:schemeClr val="accent2">
                    <a:tint val="48000"/>
                    <a:shade val="95000"/>
                  </a:schemeClr>
                </a:solidFill>
                <a:round/>
              </a:ln>
              <a:effectLst/>
            </c:spPr>
            <c:extLst>
              <c:ext xmlns:c16="http://schemas.microsoft.com/office/drawing/2014/chart" uri="{C3380CC4-5D6E-409C-BE32-E72D297353CC}">
                <c16:uniqueId val="{0000000D-BDBE-4693-A0B0-CB361803D55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Cookies_Sales_Dataset!$D$42:$D$49</c:f>
              <c:strCache>
                <c:ptCount val="7"/>
                <c:pt idx="0">
                  <c:v>Chocolate Chip Cookie</c:v>
                </c:pt>
                <c:pt idx="1">
                  <c:v>Double Chocolate Cookie</c:v>
                </c:pt>
                <c:pt idx="2">
                  <c:v>Lemon Cookie</c:v>
                </c:pt>
                <c:pt idx="3">
                  <c:v>Oatmeal Raisin Cookie</c:v>
                </c:pt>
                <c:pt idx="4">
                  <c:v>Peanut Butter Cookie</c:v>
                </c:pt>
                <c:pt idx="5">
                  <c:v>Sugar Cookie</c:v>
                </c:pt>
                <c:pt idx="6">
                  <c:v>White Chocolate Macadamia Cookie</c:v>
                </c:pt>
              </c:strCache>
            </c:strRef>
          </c:cat>
          <c:val>
            <c:numRef>
              <c:f>Cookies_Sales_Dataset!$E$42:$E$49</c:f>
              <c:numCache>
                <c:formatCode>_-[$£-809]* #,##0.00_-;\-[$£-809]* #,##0.00_-;_-[$£-809]* "-"??_-;_-@_-</c:formatCode>
                <c:ptCount val="7"/>
                <c:pt idx="0">
                  <c:v>1081.6000000000001</c:v>
                </c:pt>
                <c:pt idx="1">
                  <c:v>1252.2</c:v>
                </c:pt>
                <c:pt idx="2">
                  <c:v>830.69999999999993</c:v>
                </c:pt>
                <c:pt idx="3">
                  <c:v>797.69999999999982</c:v>
                </c:pt>
                <c:pt idx="4">
                  <c:v>879.4</c:v>
                </c:pt>
                <c:pt idx="5">
                  <c:v>737</c:v>
                </c:pt>
                <c:pt idx="6">
                  <c:v>928.9</c:v>
                </c:pt>
              </c:numCache>
            </c:numRef>
          </c:val>
          <c:extLst>
            <c:ext xmlns:c16="http://schemas.microsoft.com/office/drawing/2014/chart" uri="{C3380CC4-5D6E-409C-BE32-E72D297353CC}">
              <c16:uniqueId val="{00000000-521F-4B5B-982E-626AC3960B0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[Cookies_Sales_Dataset.xlsx]Cookies_Sales_Dataset!MonthlyProfit</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Monthly Profit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3"/>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3">
              <a:shade val="76000"/>
            </a:schemeClr>
          </a:solidFill>
          <a:ln>
            <a:noFill/>
          </a:ln>
          <a:effectLst>
            <a:outerShdw blurRad="254000" sx="102000" sy="102000" algn="ctr" rotWithShape="0">
              <a:prstClr val="black">
                <a:alpha val="20000"/>
              </a:prstClr>
            </a:outerShdw>
          </a:effectLst>
        </c:spPr>
      </c:pivotFmt>
      <c:pivotFmt>
        <c:idx val="2"/>
        <c:spPr>
          <a:solidFill>
            <a:schemeClr val="accent3">
              <a:tint val="77000"/>
            </a:schemeClr>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Cookies_Sales_Dataset!$I$41</c:f>
              <c:strCache>
                <c:ptCount val="1"/>
                <c:pt idx="0">
                  <c:v>Total</c:v>
                </c:pt>
              </c:strCache>
            </c:strRef>
          </c:tx>
          <c:dPt>
            <c:idx val="0"/>
            <c:bubble3D val="0"/>
            <c:spPr>
              <a:solidFill>
                <a:schemeClr val="accent3">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286-499E-8D09-B8C80E70C24F}"/>
              </c:ext>
            </c:extLst>
          </c:dPt>
          <c:dPt>
            <c:idx val="1"/>
            <c:bubble3D val="0"/>
            <c:spPr>
              <a:solidFill>
                <a:schemeClr val="accent3">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286-499E-8D09-B8C80E70C24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Cookies_Sales_Dataset!$H$42:$H$44</c:f>
              <c:strCache>
                <c:ptCount val="2"/>
                <c:pt idx="0">
                  <c:v>Jan</c:v>
                </c:pt>
                <c:pt idx="1">
                  <c:v>Feb</c:v>
                </c:pt>
              </c:strCache>
            </c:strRef>
          </c:cat>
          <c:val>
            <c:numRef>
              <c:f>Cookies_Sales_Dataset!$I$42:$I$44</c:f>
              <c:numCache>
                <c:formatCode>_-[$£-809]* #,##0.00_-;\-[$£-809]* #,##0.00_-;_-[$£-809]* "-"??_-;_-@_-</c:formatCode>
                <c:ptCount val="2"/>
                <c:pt idx="0">
                  <c:v>3609.7</c:v>
                </c:pt>
                <c:pt idx="1">
                  <c:v>2897.8</c:v>
                </c:pt>
              </c:numCache>
            </c:numRef>
          </c:val>
          <c:extLst>
            <c:ext xmlns:c16="http://schemas.microsoft.com/office/drawing/2014/chart" uri="{C3380CC4-5D6E-409C-BE32-E72D297353CC}">
              <c16:uniqueId val="{00000000-FDF9-4B41-83FC-E3867C397FD4}"/>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244475</xdr:rowOff>
    </xdr:from>
    <xdr:to>
      <xdr:col>6</xdr:col>
      <xdr:colOff>432850</xdr:colOff>
      <xdr:row>17</xdr:row>
      <xdr:rowOff>181375</xdr:rowOff>
    </xdr:to>
    <xdr:graphicFrame macro="">
      <xdr:nvGraphicFramePr>
        <xdr:cNvPr id="9" name="Chart 8">
          <a:extLst>
            <a:ext uri="{FF2B5EF4-FFF2-40B4-BE49-F238E27FC236}">
              <a16:creationId xmlns:a16="http://schemas.microsoft.com/office/drawing/2014/main" id="{4A5711D3-30CA-475E-4716-E29AEADC4E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18</xdr:row>
      <xdr:rowOff>22225</xdr:rowOff>
    </xdr:from>
    <xdr:to>
      <xdr:col>6</xdr:col>
      <xdr:colOff>432850</xdr:colOff>
      <xdr:row>35</xdr:row>
      <xdr:rowOff>41675</xdr:rowOff>
    </xdr:to>
    <xdr:graphicFrame macro="">
      <xdr:nvGraphicFramePr>
        <xdr:cNvPr id="10" name="Chart 9">
          <a:extLst>
            <a:ext uri="{FF2B5EF4-FFF2-40B4-BE49-F238E27FC236}">
              <a16:creationId xmlns:a16="http://schemas.microsoft.com/office/drawing/2014/main" id="{AE471805-918D-29E7-6BC7-2D4299C881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539750</xdr:colOff>
      <xdr:row>18</xdr:row>
      <xdr:rowOff>22225</xdr:rowOff>
    </xdr:from>
    <xdr:to>
      <xdr:col>19</xdr:col>
      <xdr:colOff>354400</xdr:colOff>
      <xdr:row>35</xdr:row>
      <xdr:rowOff>41675</xdr:rowOff>
    </xdr:to>
    <xdr:graphicFrame macro="">
      <xdr:nvGraphicFramePr>
        <xdr:cNvPr id="11" name="Chart 10">
          <a:extLst>
            <a:ext uri="{FF2B5EF4-FFF2-40B4-BE49-F238E27FC236}">
              <a16:creationId xmlns:a16="http://schemas.microsoft.com/office/drawing/2014/main" id="{A7B2D764-B9F1-98E4-539E-A1D0CAF4DD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539750</xdr:colOff>
      <xdr:row>1</xdr:row>
      <xdr:rowOff>3175</xdr:rowOff>
    </xdr:from>
    <xdr:to>
      <xdr:col>19</xdr:col>
      <xdr:colOff>354400</xdr:colOff>
      <xdr:row>18</xdr:row>
      <xdr:rowOff>22625</xdr:rowOff>
    </xdr:to>
    <xdr:graphicFrame macro="">
      <xdr:nvGraphicFramePr>
        <xdr:cNvPr id="12" name="Chart 11">
          <a:extLst>
            <a:ext uri="{FF2B5EF4-FFF2-40B4-BE49-F238E27FC236}">
              <a16:creationId xmlns:a16="http://schemas.microsoft.com/office/drawing/2014/main" id="{6FFCB577-4350-D1A5-6F54-25BC289C9F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412750</xdr:colOff>
      <xdr:row>20</xdr:row>
      <xdr:rowOff>139700</xdr:rowOff>
    </xdr:from>
    <xdr:to>
      <xdr:col>9</xdr:col>
      <xdr:colOff>539750</xdr:colOff>
      <xdr:row>35</xdr:row>
      <xdr:rowOff>47625</xdr:rowOff>
    </xdr:to>
    <xdr:graphicFrame macro="">
      <xdr:nvGraphicFramePr>
        <xdr:cNvPr id="13" name="Chart 12">
          <a:extLst>
            <a:ext uri="{FF2B5EF4-FFF2-40B4-BE49-F238E27FC236}">
              <a16:creationId xmlns:a16="http://schemas.microsoft.com/office/drawing/2014/main" id="{FBC6F8B7-5DCA-9E53-9B51-A883D8F82E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419100</xdr:colOff>
      <xdr:row>11</xdr:row>
      <xdr:rowOff>19050</xdr:rowOff>
    </xdr:from>
    <xdr:to>
      <xdr:col>9</xdr:col>
      <xdr:colOff>539750</xdr:colOff>
      <xdr:row>20</xdr:row>
      <xdr:rowOff>139700</xdr:rowOff>
    </xdr:to>
    <mc:AlternateContent xmlns:mc="http://schemas.openxmlformats.org/markup-compatibility/2006" xmlns:a14="http://schemas.microsoft.com/office/drawing/2010/main">
      <mc:Choice Requires="a14">
        <xdr:graphicFrame macro="">
          <xdr:nvGraphicFramePr>
            <xdr:cNvPr id="14" name="Product">
              <a:extLst>
                <a:ext uri="{FF2B5EF4-FFF2-40B4-BE49-F238E27FC236}">
                  <a16:creationId xmlns:a16="http://schemas.microsoft.com/office/drawing/2014/main" id="{8C637EC0-D671-4FF2-A763-F12D913EF302}"/>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6826250" y="2127250"/>
              <a:ext cx="2724150" cy="1778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431800</xdr:colOff>
      <xdr:row>1</xdr:row>
      <xdr:rowOff>0</xdr:rowOff>
    </xdr:from>
    <xdr:to>
      <xdr:col>9</xdr:col>
      <xdr:colOff>539750</xdr:colOff>
      <xdr:row>11</xdr:row>
      <xdr:rowOff>19050</xdr:rowOff>
    </xdr:to>
    <mc:AlternateContent xmlns:mc="http://schemas.openxmlformats.org/markup-compatibility/2006" xmlns:a14="http://schemas.microsoft.com/office/drawing/2010/main">
      <mc:Choice Requires="a14">
        <xdr:graphicFrame macro="">
          <xdr:nvGraphicFramePr>
            <xdr:cNvPr id="15" name="Country">
              <a:extLst>
                <a:ext uri="{FF2B5EF4-FFF2-40B4-BE49-F238E27FC236}">
                  <a16:creationId xmlns:a16="http://schemas.microsoft.com/office/drawing/2014/main" id="{89EA7685-AD6A-3D05-4552-E4616F49AC63}"/>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6838950" y="76200"/>
              <a:ext cx="2711450" cy="20510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om Curtis" refreshedDate="46087.729270138887" createdVersion="8" refreshedVersion="8" minRefreshableVersion="3" recordCount="50" xr:uid="{60C00E46-A625-42FA-9119-DF44B9A19F39}">
  <cacheSource type="worksheet">
    <worksheetSource name="Table1"/>
  </cacheSource>
  <cacheFields count="11">
    <cacheField name="Product_ID" numFmtId="0">
      <sharedItems containsSemiMixedTypes="0" containsString="0" containsNumber="1" containsInteger="1" minValue="101" maxValue="150"/>
    </cacheField>
    <cacheField name="Product" numFmtId="0">
      <sharedItems count="7">
        <s v="Chocolate Chip Cookie"/>
        <s v="Oatmeal Raisin Cookie"/>
        <s v="Peanut Butter Cookie"/>
        <s v="Sugar Cookie"/>
        <s v="Double Chocolate Cookie"/>
        <s v="White Chocolate Macadamia Cookie"/>
        <s v="Lemon Cookie"/>
      </sharedItems>
    </cacheField>
    <cacheField name="Country" numFmtId="0">
      <sharedItems count="8">
        <s v="USA"/>
        <s v="Canada"/>
        <s v="UK"/>
        <s v="Australia"/>
        <s v="Germany"/>
        <s v="France"/>
        <s v="Italy"/>
        <s v="Spain"/>
      </sharedItems>
    </cacheField>
    <cacheField name="Date" numFmtId="14">
      <sharedItems containsSemiMixedTypes="0" containsNonDate="0" containsDate="1" containsString="0" minDate="2024-01-03T00:00:00" maxDate="2024-02-23T00:00:00" count="5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sharedItems>
      <fieldGroup par="10"/>
    </cacheField>
    <cacheField name="Selling Price" numFmtId="164">
      <sharedItems containsSemiMixedTypes="0" containsString="0" containsNumber="1" minValue="1.8" maxValue="3.1"/>
    </cacheField>
    <cacheField name="Cost" numFmtId="164">
      <sharedItems containsSemiMixedTypes="0" containsString="0" containsNumber="1" minValue="0.9" maxValue="1.5"/>
    </cacheField>
    <cacheField name="Profit" numFmtId="164">
      <sharedItems containsSemiMixedTypes="0" containsString="0" containsNumber="1" minValue="0.9" maxValue="1.6"/>
    </cacheField>
    <cacheField name="Units Sold" numFmtId="0">
      <sharedItems containsSemiMixedTypes="0" containsString="0" containsNumber="1" containsInteger="1" minValue="50" maxValue="140"/>
    </cacheField>
    <cacheField name="Total Profit" numFmtId="164">
      <sharedItems containsSemiMixedTypes="0" containsString="0" containsNumber="1" minValue="65" maxValue="196.00000000000003"/>
    </cacheField>
    <cacheField name="Days (Date)" numFmtId="0" databaseField="0">
      <fieldGroup base="3">
        <rangePr groupBy="days" startDate="2024-01-03T00:00:00" endDate="2024-02-23T00:00:00"/>
        <groupItems count="368">
          <s v="&lt;03/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3/02/2024"/>
        </groupItems>
      </fieldGroup>
    </cacheField>
    <cacheField name="Months (Date)" numFmtId="0" databaseField="0">
      <fieldGroup base="3">
        <rangePr groupBy="months" startDate="2024-01-03T00:00:00" endDate="2024-02-23T00:00:00"/>
        <groupItems count="14">
          <s v="&lt;03/01/2024"/>
          <s v="Jan"/>
          <s v="Feb"/>
          <s v="Mar"/>
          <s v="Apr"/>
          <s v="May"/>
          <s v="Jun"/>
          <s v="Jul"/>
          <s v="Aug"/>
          <s v="Sep"/>
          <s v="Oct"/>
          <s v="Nov"/>
          <s v="Dec"/>
          <s v="&gt;23/02/2024"/>
        </groupItems>
      </fieldGroup>
    </cacheField>
  </cacheFields>
  <extLst>
    <ext xmlns:x14="http://schemas.microsoft.com/office/spreadsheetml/2009/9/main" uri="{725AE2AE-9491-48be-B2B4-4EB974FC3084}">
      <x14:pivotCacheDefinition pivotCacheId="6750179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101"/>
    <x v="0"/>
    <x v="0"/>
    <x v="0"/>
    <n v="2.5"/>
    <n v="1.2"/>
    <n v="1.3"/>
    <n v="120"/>
    <n v="156"/>
  </r>
  <r>
    <n v="102"/>
    <x v="1"/>
    <x v="1"/>
    <x v="1"/>
    <n v="2.2999999999999998"/>
    <n v="1.1000000000000001"/>
    <n v="1.1999999999999997"/>
    <n v="95"/>
    <n v="113.99999999999997"/>
  </r>
  <r>
    <n v="103"/>
    <x v="2"/>
    <x v="2"/>
    <x v="2"/>
    <n v="2.2000000000000002"/>
    <n v="1"/>
    <n v="1.2000000000000002"/>
    <n v="110"/>
    <n v="132.00000000000003"/>
  </r>
  <r>
    <n v="104"/>
    <x v="3"/>
    <x v="3"/>
    <x v="3"/>
    <n v="2"/>
    <n v="0.9"/>
    <n v="1.1000000000000001"/>
    <n v="100"/>
    <n v="110.00000000000001"/>
  </r>
  <r>
    <n v="105"/>
    <x v="4"/>
    <x v="4"/>
    <x v="4"/>
    <n v="2.7"/>
    <n v="1.3"/>
    <n v="1.4000000000000001"/>
    <n v="130"/>
    <n v="182.00000000000003"/>
  </r>
  <r>
    <n v="106"/>
    <x v="5"/>
    <x v="5"/>
    <x v="5"/>
    <n v="3"/>
    <n v="1.5"/>
    <n v="1.5"/>
    <n v="85"/>
    <n v="127.5"/>
  </r>
  <r>
    <n v="107"/>
    <x v="6"/>
    <x v="6"/>
    <x v="6"/>
    <n v="2.4"/>
    <n v="1.1000000000000001"/>
    <n v="1.2999999999999998"/>
    <n v="90"/>
    <n v="116.99999999999999"/>
  </r>
  <r>
    <n v="108"/>
    <x v="0"/>
    <x v="7"/>
    <x v="7"/>
    <n v="2.5"/>
    <n v="1.2"/>
    <n v="1.3"/>
    <n v="115"/>
    <n v="149.5"/>
  </r>
  <r>
    <n v="109"/>
    <x v="1"/>
    <x v="0"/>
    <x v="8"/>
    <n v="2.2999999999999998"/>
    <n v="1.1000000000000001"/>
    <n v="1.1999999999999997"/>
    <n v="102"/>
    <n v="122.39999999999998"/>
  </r>
  <r>
    <n v="110"/>
    <x v="2"/>
    <x v="1"/>
    <x v="9"/>
    <n v="2.2000000000000002"/>
    <n v="1"/>
    <n v="1.2000000000000002"/>
    <n v="108"/>
    <n v="129.60000000000002"/>
  </r>
  <r>
    <n v="111"/>
    <x v="3"/>
    <x v="2"/>
    <x v="10"/>
    <n v="1.8"/>
    <n v="0.9"/>
    <n v="0.9"/>
    <n v="99"/>
    <n v="89.100000000000009"/>
  </r>
  <r>
    <n v="112"/>
    <x v="4"/>
    <x v="3"/>
    <x v="11"/>
    <n v="2.7"/>
    <n v="1.3"/>
    <n v="1.4000000000000001"/>
    <n v="140"/>
    <n v="196.00000000000003"/>
  </r>
  <r>
    <n v="113"/>
    <x v="5"/>
    <x v="4"/>
    <x v="12"/>
    <n v="3.1"/>
    <n v="1.5"/>
    <n v="1.6"/>
    <n v="88"/>
    <n v="140.80000000000001"/>
  </r>
  <r>
    <n v="114"/>
    <x v="6"/>
    <x v="5"/>
    <x v="13"/>
    <n v="2.4"/>
    <n v="1.1000000000000001"/>
    <n v="1.2999999999999998"/>
    <n v="92"/>
    <n v="119.59999999999998"/>
  </r>
  <r>
    <n v="115"/>
    <x v="0"/>
    <x v="6"/>
    <x v="14"/>
    <n v="2.5"/>
    <n v="1.2"/>
    <n v="1.3"/>
    <n v="50"/>
    <n v="65"/>
  </r>
  <r>
    <n v="116"/>
    <x v="1"/>
    <x v="7"/>
    <x v="15"/>
    <n v="2.2999999999999998"/>
    <n v="1.1000000000000001"/>
    <n v="1.1999999999999997"/>
    <n v="105"/>
    <n v="125.99999999999997"/>
  </r>
  <r>
    <n v="117"/>
    <x v="2"/>
    <x v="0"/>
    <x v="16"/>
    <n v="2.1"/>
    <n v="1"/>
    <n v="1.1000000000000001"/>
    <n v="98"/>
    <n v="107.80000000000001"/>
  </r>
  <r>
    <n v="118"/>
    <x v="3"/>
    <x v="1"/>
    <x v="17"/>
    <n v="2"/>
    <n v="0.9"/>
    <n v="1.1000000000000001"/>
    <n v="97"/>
    <n v="106.7"/>
  </r>
  <r>
    <n v="119"/>
    <x v="4"/>
    <x v="2"/>
    <x v="18"/>
    <n v="2.6"/>
    <n v="1.3"/>
    <n v="1.3"/>
    <n v="134"/>
    <n v="174.20000000000002"/>
  </r>
  <r>
    <n v="120"/>
    <x v="5"/>
    <x v="3"/>
    <x v="19"/>
    <n v="3"/>
    <n v="1.5"/>
    <n v="1.5"/>
    <n v="89"/>
    <n v="133.5"/>
  </r>
  <r>
    <n v="121"/>
    <x v="6"/>
    <x v="4"/>
    <x v="20"/>
    <n v="2.4"/>
    <n v="1.1000000000000001"/>
    <n v="1.2999999999999998"/>
    <n v="93"/>
    <n v="120.89999999999998"/>
  </r>
  <r>
    <n v="122"/>
    <x v="0"/>
    <x v="5"/>
    <x v="21"/>
    <n v="2.5"/>
    <n v="1.2"/>
    <n v="1.3"/>
    <n v="101"/>
    <n v="131.30000000000001"/>
  </r>
  <r>
    <n v="123"/>
    <x v="1"/>
    <x v="6"/>
    <x v="22"/>
    <n v="2.2000000000000002"/>
    <n v="1.1000000000000001"/>
    <n v="1.1000000000000001"/>
    <n v="87"/>
    <n v="95.7"/>
  </r>
  <r>
    <n v="124"/>
    <x v="2"/>
    <x v="7"/>
    <x v="23"/>
    <n v="2.2000000000000002"/>
    <n v="1"/>
    <n v="1.2000000000000002"/>
    <n v="109"/>
    <n v="130.80000000000001"/>
  </r>
  <r>
    <n v="125"/>
    <x v="3"/>
    <x v="0"/>
    <x v="24"/>
    <n v="2"/>
    <n v="0.9"/>
    <n v="1.1000000000000001"/>
    <n v="100"/>
    <n v="110.00000000000001"/>
  </r>
  <r>
    <n v="126"/>
    <x v="4"/>
    <x v="1"/>
    <x v="25"/>
    <n v="2.7"/>
    <n v="1.3"/>
    <n v="1.4000000000000001"/>
    <n v="120"/>
    <n v="168.00000000000003"/>
  </r>
  <r>
    <n v="127"/>
    <x v="5"/>
    <x v="2"/>
    <x v="26"/>
    <n v="3.1"/>
    <n v="1.5"/>
    <n v="1.6"/>
    <n v="85"/>
    <n v="136"/>
  </r>
  <r>
    <n v="128"/>
    <x v="6"/>
    <x v="3"/>
    <x v="27"/>
    <n v="2.4"/>
    <n v="1.1000000000000001"/>
    <n v="1.2999999999999998"/>
    <n v="91"/>
    <n v="118.29999999999998"/>
  </r>
  <r>
    <n v="129"/>
    <x v="0"/>
    <x v="4"/>
    <x v="28"/>
    <n v="2.5"/>
    <n v="1.2"/>
    <n v="1.3"/>
    <n v="108"/>
    <n v="140.4"/>
  </r>
  <r>
    <n v="130"/>
    <x v="1"/>
    <x v="5"/>
    <x v="29"/>
    <n v="2.2999999999999998"/>
    <n v="1.1000000000000001"/>
    <n v="1.1999999999999997"/>
    <n v="96"/>
    <n v="115.19999999999997"/>
  </r>
  <r>
    <n v="131"/>
    <x v="2"/>
    <x v="6"/>
    <x v="30"/>
    <n v="2.2000000000000002"/>
    <n v="1"/>
    <n v="1.2000000000000002"/>
    <n v="104"/>
    <n v="124.80000000000001"/>
  </r>
  <r>
    <n v="132"/>
    <x v="3"/>
    <x v="7"/>
    <x v="31"/>
    <n v="2"/>
    <n v="0.9"/>
    <n v="1.1000000000000001"/>
    <n v="99"/>
    <n v="108.9"/>
  </r>
  <r>
    <n v="133"/>
    <x v="4"/>
    <x v="0"/>
    <x v="32"/>
    <n v="2.7"/>
    <n v="1.3"/>
    <n v="1.4000000000000001"/>
    <n v="137"/>
    <n v="191.8"/>
  </r>
  <r>
    <n v="134"/>
    <x v="5"/>
    <x v="1"/>
    <x v="33"/>
    <n v="3"/>
    <n v="1.5"/>
    <n v="1.5"/>
    <n v="82"/>
    <n v="123"/>
  </r>
  <r>
    <n v="135"/>
    <x v="6"/>
    <x v="2"/>
    <x v="34"/>
    <n v="2.4"/>
    <n v="1.1000000000000001"/>
    <n v="1.2999999999999998"/>
    <n v="90"/>
    <n v="116.99999999999999"/>
  </r>
  <r>
    <n v="136"/>
    <x v="0"/>
    <x v="3"/>
    <x v="35"/>
    <n v="2.5"/>
    <n v="1.2"/>
    <n v="1.3"/>
    <n v="114"/>
    <n v="148.20000000000002"/>
  </r>
  <r>
    <n v="137"/>
    <x v="1"/>
    <x v="4"/>
    <x v="36"/>
    <n v="2.2999999999999998"/>
    <n v="1.1000000000000001"/>
    <n v="1.1999999999999997"/>
    <n v="94"/>
    <n v="112.79999999999997"/>
  </r>
  <r>
    <n v="138"/>
    <x v="2"/>
    <x v="5"/>
    <x v="37"/>
    <n v="2.2000000000000002"/>
    <n v="1"/>
    <n v="1.2000000000000002"/>
    <n v="107"/>
    <n v="128.4"/>
  </r>
  <r>
    <n v="139"/>
    <x v="3"/>
    <x v="6"/>
    <x v="38"/>
    <n v="2"/>
    <n v="0.9"/>
    <n v="1.1000000000000001"/>
    <n v="95"/>
    <n v="104.50000000000001"/>
  </r>
  <r>
    <n v="140"/>
    <x v="4"/>
    <x v="7"/>
    <x v="39"/>
    <n v="2.7"/>
    <n v="1.3"/>
    <n v="1.4000000000000001"/>
    <n v="122"/>
    <n v="170.8"/>
  </r>
  <r>
    <n v="141"/>
    <x v="5"/>
    <x v="0"/>
    <x v="40"/>
    <n v="3.1"/>
    <n v="1.5"/>
    <n v="1.6"/>
    <n v="86"/>
    <n v="137.6"/>
  </r>
  <r>
    <n v="142"/>
    <x v="6"/>
    <x v="1"/>
    <x v="41"/>
    <n v="2.4"/>
    <n v="1.1000000000000001"/>
    <n v="1.2999999999999998"/>
    <n v="91"/>
    <n v="118.29999999999998"/>
  </r>
  <r>
    <n v="143"/>
    <x v="0"/>
    <x v="2"/>
    <x v="42"/>
    <n v="2.5"/>
    <n v="1.2"/>
    <n v="1.3"/>
    <n v="111"/>
    <n v="144.30000000000001"/>
  </r>
  <r>
    <n v="144"/>
    <x v="1"/>
    <x v="3"/>
    <x v="43"/>
    <n v="2.2999999999999998"/>
    <n v="1.1000000000000001"/>
    <n v="1.1999999999999997"/>
    <n v="93"/>
    <n v="111.59999999999998"/>
  </r>
  <r>
    <n v="145"/>
    <x v="2"/>
    <x v="4"/>
    <x v="44"/>
    <n v="2.2000000000000002"/>
    <n v="1"/>
    <n v="1.2000000000000002"/>
    <n v="105"/>
    <n v="126.00000000000001"/>
  </r>
  <r>
    <n v="146"/>
    <x v="3"/>
    <x v="5"/>
    <x v="45"/>
    <n v="2"/>
    <n v="0.9"/>
    <n v="1.1000000000000001"/>
    <n v="98"/>
    <n v="107.80000000000001"/>
  </r>
  <r>
    <n v="147"/>
    <x v="4"/>
    <x v="6"/>
    <x v="46"/>
    <n v="2.7"/>
    <n v="1.3"/>
    <n v="1.4000000000000001"/>
    <n v="121"/>
    <n v="169.4"/>
  </r>
  <r>
    <n v="148"/>
    <x v="5"/>
    <x v="7"/>
    <x v="47"/>
    <n v="3"/>
    <n v="1.5"/>
    <n v="1.5"/>
    <n v="87"/>
    <n v="130.5"/>
  </r>
  <r>
    <n v="149"/>
    <x v="6"/>
    <x v="0"/>
    <x v="48"/>
    <n v="2.4"/>
    <n v="1.1000000000000001"/>
    <n v="1.2999999999999998"/>
    <n v="92"/>
    <n v="119.59999999999998"/>
  </r>
  <r>
    <n v="150"/>
    <x v="0"/>
    <x v="1"/>
    <x v="49"/>
    <n v="2.5"/>
    <n v="1.2"/>
    <n v="1.3"/>
    <n v="113"/>
    <n v="146.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C18145-370A-478F-A155-83CFFC95D49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11">
    <pivotField showAll="0"/>
    <pivotField showAll="0">
      <items count="8">
        <item x="0"/>
        <item x="4"/>
        <item x="6"/>
        <item x="1"/>
        <item x="2"/>
        <item x="3"/>
        <item x="5"/>
        <item t="default"/>
      </items>
    </pivotField>
    <pivotField showAll="0">
      <items count="9">
        <item x="3"/>
        <item x="1"/>
        <item x="5"/>
        <item x="4"/>
        <item x="6"/>
        <item x="7"/>
        <item x="2"/>
        <item x="0"/>
        <item t="default"/>
      </items>
    </pivotField>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umFmtId="164" showAll="0"/>
    <pivotField numFmtId="164" showAll="0"/>
    <pivotField numFmtId="164" showAll="0"/>
    <pivotField showAll="0"/>
    <pivotField dataField="1" numFmtId="164"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0"/>
  </rowFields>
  <rowItems count="3">
    <i>
      <x v="1"/>
    </i>
    <i>
      <x v="2"/>
    </i>
    <i t="grand">
      <x/>
    </i>
  </rowItems>
  <colItems count="1">
    <i/>
  </colItems>
  <dataFields count="1">
    <dataField name="Sum of Total Profit" fld="8"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97AE7D-508A-4E04-B33C-86920D9ECFCA}" name="ProductUnitsSol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52:E60" firstHeaderRow="1" firstDataRow="1" firstDataCol="1"/>
  <pivotFields count="11">
    <pivotField showAll="0"/>
    <pivotField axis="axisRow" showAll="0">
      <items count="8">
        <item x="0"/>
        <item x="4"/>
        <item x="6"/>
        <item x="1"/>
        <item x="2"/>
        <item x="3"/>
        <item x="5"/>
        <item t="default"/>
      </items>
    </pivotField>
    <pivotField showAll="0">
      <items count="9">
        <item x="3"/>
        <item x="1"/>
        <item x="5"/>
        <item x="4"/>
        <item x="6"/>
        <item x="7"/>
        <item x="2"/>
        <item x="0"/>
        <item t="default"/>
      </items>
    </pivotField>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umFmtId="164" showAll="0"/>
    <pivotField numFmtId="164" showAll="0"/>
    <pivotField numFmtId="164" showAll="0"/>
    <pivotField dataField="1" showAll="0"/>
    <pivotField numFmtId="164"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8">
    <i>
      <x/>
    </i>
    <i>
      <x v="1"/>
    </i>
    <i>
      <x v="2"/>
    </i>
    <i>
      <x v="3"/>
    </i>
    <i>
      <x v="4"/>
    </i>
    <i>
      <x v="5"/>
    </i>
    <i>
      <x v="6"/>
    </i>
    <i t="grand">
      <x/>
    </i>
  </rowItems>
  <colItems count="1">
    <i/>
  </colItems>
  <dataFields count="1">
    <dataField name="Sum of Units Sold" fld="7"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 chart="0" format="7">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406723-9A43-4FF6-85E3-B3FA55C12169}" name="CountryUnitsSol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2:B61" firstHeaderRow="1" firstDataRow="1" firstDataCol="1"/>
  <pivotFields count="11">
    <pivotField showAll="0"/>
    <pivotField showAll="0">
      <items count="8">
        <item x="0"/>
        <item x="4"/>
        <item x="6"/>
        <item x="1"/>
        <item x="2"/>
        <item x="3"/>
        <item x="5"/>
        <item t="default"/>
      </items>
    </pivotField>
    <pivotField axis="axisRow" showAll="0">
      <items count="9">
        <item x="3"/>
        <item x="1"/>
        <item x="5"/>
        <item x="4"/>
        <item x="6"/>
        <item x="7"/>
        <item x="2"/>
        <item x="0"/>
        <item t="default"/>
      </items>
    </pivotField>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umFmtId="164" showAll="0"/>
    <pivotField numFmtId="164" showAll="0"/>
    <pivotField numFmtId="164" showAll="0"/>
    <pivotField dataField="1" showAll="0"/>
    <pivotField numFmtId="164"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9">
    <i>
      <x/>
    </i>
    <i>
      <x v="1"/>
    </i>
    <i>
      <x v="2"/>
    </i>
    <i>
      <x v="3"/>
    </i>
    <i>
      <x v="4"/>
    </i>
    <i>
      <x v="5"/>
    </i>
    <i>
      <x v="6"/>
    </i>
    <i>
      <x v="7"/>
    </i>
    <i t="grand">
      <x/>
    </i>
  </rowItems>
  <colItems count="1">
    <i/>
  </colItems>
  <dataFields count="1">
    <dataField name="Sum of Units Sold"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E7DA55-8878-4A53-905D-03309B6D61C6}" name="Country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1:B50" firstHeaderRow="1" firstDataRow="1" firstDataCol="1"/>
  <pivotFields count="11">
    <pivotField showAll="0"/>
    <pivotField showAll="0">
      <items count="8">
        <item x="0"/>
        <item x="4"/>
        <item x="6"/>
        <item x="1"/>
        <item x="2"/>
        <item x="3"/>
        <item x="5"/>
        <item t="default"/>
      </items>
    </pivotField>
    <pivotField axis="axisRow" showAll="0">
      <items count="9">
        <item x="3"/>
        <item x="1"/>
        <item x="5"/>
        <item x="4"/>
        <item x="6"/>
        <item x="7"/>
        <item x="2"/>
        <item x="0"/>
        <item t="default"/>
      </items>
    </pivotField>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umFmtId="164" showAll="0"/>
    <pivotField numFmtId="164" showAll="0"/>
    <pivotField numFmtId="164" showAll="0"/>
    <pivotField showAll="0"/>
    <pivotField dataField="1" numFmtId="164"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9">
    <i>
      <x/>
    </i>
    <i>
      <x v="1"/>
    </i>
    <i>
      <x v="2"/>
    </i>
    <i>
      <x v="3"/>
    </i>
    <i>
      <x v="4"/>
    </i>
    <i>
      <x v="5"/>
    </i>
    <i>
      <x v="6"/>
    </i>
    <i>
      <x v="7"/>
    </i>
    <i t="grand">
      <x/>
    </i>
  </rowItems>
  <colItems count="1">
    <i/>
  </colItems>
  <dataFields count="1">
    <dataField name="Sum of Total Profit" fld="8"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62AFCAE-33BB-4956-B55A-95EEF39492C3}" name="Monthly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41:I44" firstHeaderRow="1" firstDataRow="1" firstDataCol="1"/>
  <pivotFields count="11">
    <pivotField showAll="0"/>
    <pivotField showAll="0">
      <items count="8">
        <item x="0"/>
        <item x="4"/>
        <item x="6"/>
        <item x="1"/>
        <item x="2"/>
        <item x="3"/>
        <item x="5"/>
        <item t="default"/>
      </items>
    </pivotField>
    <pivotField showAll="0">
      <items count="9">
        <item x="3"/>
        <item x="1"/>
        <item x="5"/>
        <item x="4"/>
        <item x="6"/>
        <item x="7"/>
        <item x="2"/>
        <item x="0"/>
        <item t="default"/>
      </items>
    </pivotField>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umFmtId="164" showAll="0"/>
    <pivotField numFmtId="164" showAll="0"/>
    <pivotField numFmtId="164" showAll="0"/>
    <pivotField showAll="0"/>
    <pivotField dataField="1" numFmtId="164"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0"/>
  </rowFields>
  <rowItems count="3">
    <i>
      <x v="1"/>
    </i>
    <i>
      <x v="2"/>
    </i>
    <i t="grand">
      <x/>
    </i>
  </rowItems>
  <colItems count="1">
    <i/>
  </colItems>
  <dataFields count="1">
    <dataField name="Sum of Total Profit" fld="8" baseField="0" baseItem="0" numFmtId="164"/>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1"/>
          </reference>
        </references>
      </pivotArea>
    </chartFormat>
    <chartFormat chart="0" format="2">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E5BE27C-B341-4D38-BA0A-B8AB70B944B0}" name="Product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41:E49" firstHeaderRow="1" firstDataRow="1" firstDataCol="1"/>
  <pivotFields count="11">
    <pivotField showAll="0"/>
    <pivotField axis="axisRow" showAll="0">
      <items count="8">
        <item x="0"/>
        <item x="4"/>
        <item x="6"/>
        <item x="1"/>
        <item x="2"/>
        <item x="3"/>
        <item x="5"/>
        <item t="default"/>
      </items>
    </pivotField>
    <pivotField showAll="0">
      <items count="9">
        <item x="3"/>
        <item x="1"/>
        <item x="5"/>
        <item x="4"/>
        <item x="6"/>
        <item x="7"/>
        <item x="2"/>
        <item x="0"/>
        <item t="default"/>
      </items>
    </pivotField>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umFmtId="164" showAll="0"/>
    <pivotField numFmtId="164" showAll="0"/>
    <pivotField numFmtId="164" showAll="0"/>
    <pivotField showAll="0"/>
    <pivotField dataField="1" numFmtId="164"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8">
    <i>
      <x/>
    </i>
    <i>
      <x v="1"/>
    </i>
    <i>
      <x v="2"/>
    </i>
    <i>
      <x v="3"/>
    </i>
    <i>
      <x v="4"/>
    </i>
    <i>
      <x v="5"/>
    </i>
    <i>
      <x v="6"/>
    </i>
    <i t="grand">
      <x/>
    </i>
  </rowItems>
  <colItems count="1">
    <i/>
  </colItems>
  <dataFields count="1">
    <dataField name="Sum of Total Profit" fld="8" baseField="0" baseItem="0" numFmtId="164"/>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 chart="0" format="7">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16B73E6C-22CB-4B18-A25F-F244175AFCF8}" sourceName="Product">
  <pivotTables>
    <pivotTable tabId="4" name="CountryProfit"/>
    <pivotTable tabId="4" name="CountryUnitsSold"/>
    <pivotTable tabId="4" name="MonthlyProfit"/>
    <pivotTable tabId="4" name="ProductProfit"/>
    <pivotTable tabId="4" name="ProductUnitsSold"/>
  </pivotTables>
  <data>
    <tabular pivotCacheId="675017977">
      <items count="7">
        <i x="0" s="1"/>
        <i x="4" s="1"/>
        <i x="6" s="1"/>
        <i x="1" s="1"/>
        <i x="2" s="1"/>
        <i x="3"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BB8B9F24-E3F6-40F2-A00D-9252341350F7}" sourceName="Country">
  <pivotTables>
    <pivotTable tabId="4" name="CountryProfit"/>
    <pivotTable tabId="4" name="CountryUnitsSold"/>
    <pivotTable tabId="4" name="MonthlyProfit"/>
    <pivotTable tabId="4" name="ProductProfit"/>
    <pivotTable tabId="4" name="ProductUnitsSold"/>
  </pivotTables>
  <data>
    <tabular pivotCacheId="675017977">
      <items count="8">
        <i x="3" s="1"/>
        <i x="1" s="1"/>
        <i x="5" s="1"/>
        <i x="4" s="1"/>
        <i x="6" s="1"/>
        <i x="7"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4CFC29FC-EDA9-44C6-B79E-93FDA256AEC8}" cache="Slicer_Product" caption="Product" style="SlicerStyleDark3" rowHeight="251883"/>
  <slicer name="Country" xr10:uid="{4E2BFB26-9CD1-44BF-AF47-712D502A45F5}" cache="Slicer_Country" caption="Country" style="SlicerStyleLight3"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1305D95-ED85-401C-838C-45B8289DDC16}" name="Table1" displayName="Table1" ref="A1:I51" totalsRowShown="0">
  <autoFilter ref="A1:I51" xr:uid="{81305D95-ED85-401C-838C-45B8289DDC16}"/>
  <tableColumns count="9">
    <tableColumn id="1" xr3:uid="{ECAD23F5-5155-4D47-B614-0B36A3E2516B}" name="Product_ID"/>
    <tableColumn id="2" xr3:uid="{34CC1DD0-ED78-4297-9B36-22D685865923}" name="Product"/>
    <tableColumn id="3" xr3:uid="{C4CB9D08-0D1A-48C8-B5D2-5DA39D7E47C4}" name="Country"/>
    <tableColumn id="4" xr3:uid="{A5CAC4B3-F262-411F-9579-E2E288044256}" name="Date" dataDxfId="5"/>
    <tableColumn id="5" xr3:uid="{35FD0CB5-AB84-44CC-81B4-D189831FB15E}" name="Selling Price" dataDxfId="4"/>
    <tableColumn id="6" xr3:uid="{3C958E5F-83C7-4ED1-97A2-2B96311B1296}" name="Cost" dataDxfId="3"/>
    <tableColumn id="7" xr3:uid="{80F75957-CC22-4A52-834A-56BDC5796EA5}" name="Profit" dataDxfId="2">
      <calculatedColumnFormula>E2-F2</calculatedColumnFormula>
    </tableColumn>
    <tableColumn id="8" xr3:uid="{AF419298-9C1D-4F5E-84A7-CFE368253C3A}" name="Units Sold"/>
    <tableColumn id="9" xr3:uid="{F5976B18-13C5-4CA0-A96D-76600994BEB8}" name="Total Profit" dataDxfId="1">
      <calculatedColumnFormula>H2*G2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4.xml"/><Relationship Id="rId7" Type="http://schemas.microsoft.com/office/2007/relationships/slicer" Target="../slicers/slicer1.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drawing" Target="../drawings/drawing1.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DF3F3-389F-4345-A9B2-2CC0A280664B}">
  <dimension ref="A1:H51"/>
  <sheetViews>
    <sheetView workbookViewId="0"/>
  </sheetViews>
  <sheetFormatPr defaultRowHeight="14.5" x14ac:dyDescent="0.35"/>
  <sheetData>
    <row r="1" spans="1:8" x14ac:dyDescent="0.35">
      <c r="A1" t="s">
        <v>0</v>
      </c>
      <c r="B1" t="s">
        <v>1</v>
      </c>
      <c r="C1" t="s">
        <v>2</v>
      </c>
      <c r="D1" t="s">
        <v>3</v>
      </c>
      <c r="E1" t="s">
        <v>4</v>
      </c>
      <c r="F1" t="s">
        <v>5</v>
      </c>
      <c r="G1" t="s">
        <v>6</v>
      </c>
      <c r="H1" t="s">
        <v>7</v>
      </c>
    </row>
    <row r="2" spans="1:8" x14ac:dyDescent="0.35">
      <c r="A2">
        <v>101</v>
      </c>
      <c r="B2" t="s">
        <v>8</v>
      </c>
      <c r="C2" t="s">
        <v>9</v>
      </c>
      <c r="D2" s="1">
        <v>45294</v>
      </c>
      <c r="E2">
        <v>1.2</v>
      </c>
      <c r="F2">
        <v>2.5</v>
      </c>
      <c r="G2">
        <v>1.3</v>
      </c>
      <c r="H2">
        <v>120</v>
      </c>
    </row>
    <row r="3" spans="1:8" x14ac:dyDescent="0.35">
      <c r="A3">
        <v>102</v>
      </c>
      <c r="B3" t="s">
        <v>10</v>
      </c>
      <c r="C3" t="s">
        <v>11</v>
      </c>
      <c r="D3" s="1">
        <v>45295</v>
      </c>
      <c r="E3">
        <v>1.1000000000000001</v>
      </c>
      <c r="F3">
        <v>2.2999999999999998</v>
      </c>
      <c r="G3">
        <v>1.2</v>
      </c>
      <c r="H3">
        <v>95</v>
      </c>
    </row>
    <row r="4" spans="1:8" x14ac:dyDescent="0.35">
      <c r="A4">
        <v>103</v>
      </c>
      <c r="B4" t="s">
        <v>12</v>
      </c>
      <c r="C4" t="s">
        <v>13</v>
      </c>
      <c r="D4" s="1">
        <v>45296</v>
      </c>
      <c r="E4">
        <v>1</v>
      </c>
      <c r="F4">
        <v>2.2000000000000002</v>
      </c>
      <c r="G4">
        <v>1.4</v>
      </c>
      <c r="H4">
        <v>110</v>
      </c>
    </row>
    <row r="5" spans="1:8" x14ac:dyDescent="0.35">
      <c r="A5">
        <v>104</v>
      </c>
      <c r="B5" t="s">
        <v>14</v>
      </c>
      <c r="C5" t="s">
        <v>15</v>
      </c>
      <c r="D5" s="1">
        <v>45297</v>
      </c>
      <c r="E5">
        <v>0.9</v>
      </c>
      <c r="F5">
        <v>2</v>
      </c>
      <c r="G5">
        <v>1.1000000000000001</v>
      </c>
      <c r="H5">
        <v>100</v>
      </c>
    </row>
    <row r="6" spans="1:8" x14ac:dyDescent="0.35">
      <c r="A6">
        <v>105</v>
      </c>
      <c r="B6" t="s">
        <v>16</v>
      </c>
      <c r="C6" t="s">
        <v>17</v>
      </c>
      <c r="D6" s="1">
        <v>45298</v>
      </c>
      <c r="E6">
        <v>1.3</v>
      </c>
      <c r="F6">
        <v>2.7</v>
      </c>
      <c r="G6">
        <v>1.4</v>
      </c>
      <c r="H6">
        <v>130</v>
      </c>
    </row>
    <row r="7" spans="1:8" x14ac:dyDescent="0.35">
      <c r="A7">
        <v>106</v>
      </c>
      <c r="B7" t="s">
        <v>18</v>
      </c>
      <c r="C7" t="s">
        <v>19</v>
      </c>
      <c r="D7" s="1">
        <v>45299</v>
      </c>
      <c r="E7">
        <v>1.5</v>
      </c>
      <c r="F7">
        <v>3</v>
      </c>
      <c r="G7">
        <v>1.6</v>
      </c>
      <c r="H7">
        <v>85</v>
      </c>
    </row>
    <row r="8" spans="1:8" x14ac:dyDescent="0.35">
      <c r="A8">
        <v>107</v>
      </c>
      <c r="B8" t="s">
        <v>20</v>
      </c>
      <c r="C8" t="s">
        <v>21</v>
      </c>
      <c r="D8" s="1">
        <v>45300</v>
      </c>
      <c r="E8">
        <v>1.1000000000000001</v>
      </c>
      <c r="F8">
        <v>2.4</v>
      </c>
      <c r="G8">
        <v>1.3</v>
      </c>
      <c r="H8">
        <v>90</v>
      </c>
    </row>
    <row r="9" spans="1:8" x14ac:dyDescent="0.35">
      <c r="A9">
        <v>108</v>
      </c>
      <c r="B9" t="s">
        <v>8</v>
      </c>
      <c r="C9" t="s">
        <v>22</v>
      </c>
      <c r="D9" s="1">
        <v>45301</v>
      </c>
      <c r="E9">
        <v>1.2</v>
      </c>
      <c r="F9">
        <v>2.5</v>
      </c>
      <c r="G9">
        <v>1.5</v>
      </c>
      <c r="H9">
        <v>115</v>
      </c>
    </row>
    <row r="10" spans="1:8" x14ac:dyDescent="0.35">
      <c r="A10">
        <v>109</v>
      </c>
      <c r="B10" t="s">
        <v>10</v>
      </c>
      <c r="C10" t="s">
        <v>9</v>
      </c>
      <c r="D10" s="1">
        <v>45302</v>
      </c>
      <c r="E10">
        <v>1.1000000000000001</v>
      </c>
      <c r="F10">
        <v>2.2999999999999998</v>
      </c>
      <c r="G10">
        <v>1.2</v>
      </c>
      <c r="H10">
        <v>102</v>
      </c>
    </row>
    <row r="11" spans="1:8" x14ac:dyDescent="0.35">
      <c r="A11">
        <v>110</v>
      </c>
      <c r="B11" t="s">
        <v>12</v>
      </c>
      <c r="C11" t="s">
        <v>11</v>
      </c>
      <c r="D11" s="1">
        <v>45303</v>
      </c>
      <c r="E11">
        <v>1</v>
      </c>
      <c r="F11">
        <v>2.2000000000000002</v>
      </c>
      <c r="G11">
        <v>1.2</v>
      </c>
      <c r="H11">
        <v>108</v>
      </c>
    </row>
    <row r="12" spans="1:8" x14ac:dyDescent="0.35">
      <c r="A12">
        <v>111</v>
      </c>
      <c r="B12" t="s">
        <v>14</v>
      </c>
      <c r="C12" t="s">
        <v>13</v>
      </c>
      <c r="D12" s="1">
        <v>45304</v>
      </c>
      <c r="E12">
        <v>0.9</v>
      </c>
      <c r="F12">
        <v>1.8</v>
      </c>
      <c r="G12">
        <v>1</v>
      </c>
      <c r="H12">
        <v>99</v>
      </c>
    </row>
    <row r="13" spans="1:8" x14ac:dyDescent="0.35">
      <c r="A13">
        <v>112</v>
      </c>
      <c r="B13" t="s">
        <v>16</v>
      </c>
      <c r="C13" t="s">
        <v>15</v>
      </c>
      <c r="D13" s="1">
        <v>45305</v>
      </c>
      <c r="E13">
        <v>1.3</v>
      </c>
      <c r="F13">
        <v>2.7</v>
      </c>
      <c r="G13">
        <v>1.4</v>
      </c>
      <c r="H13">
        <v>140</v>
      </c>
    </row>
    <row r="14" spans="1:8" x14ac:dyDescent="0.35">
      <c r="A14">
        <v>113</v>
      </c>
      <c r="B14" t="s">
        <v>18</v>
      </c>
      <c r="C14" t="s">
        <v>17</v>
      </c>
      <c r="D14" s="1">
        <v>45306</v>
      </c>
      <c r="E14">
        <v>1.5</v>
      </c>
      <c r="F14">
        <v>3.1</v>
      </c>
      <c r="G14">
        <v>1.7</v>
      </c>
      <c r="H14">
        <v>88</v>
      </c>
    </row>
    <row r="15" spans="1:8" x14ac:dyDescent="0.35">
      <c r="A15">
        <v>114</v>
      </c>
      <c r="B15" t="s">
        <v>20</v>
      </c>
      <c r="C15" t="s">
        <v>19</v>
      </c>
      <c r="D15" s="1">
        <v>45307</v>
      </c>
      <c r="E15">
        <v>1.1000000000000001</v>
      </c>
      <c r="F15">
        <v>2.4</v>
      </c>
      <c r="G15">
        <v>1.3</v>
      </c>
      <c r="H15">
        <v>92</v>
      </c>
    </row>
    <row r="16" spans="1:8" x14ac:dyDescent="0.35">
      <c r="A16">
        <v>115</v>
      </c>
      <c r="B16" t="s">
        <v>8</v>
      </c>
      <c r="C16" t="s">
        <v>21</v>
      </c>
      <c r="D16" s="1">
        <v>45308</v>
      </c>
      <c r="E16">
        <v>1.2</v>
      </c>
      <c r="F16">
        <v>2.5</v>
      </c>
      <c r="G16">
        <v>1.3</v>
      </c>
      <c r="H16">
        <v>-50</v>
      </c>
    </row>
    <row r="17" spans="1:8" x14ac:dyDescent="0.35">
      <c r="A17">
        <v>116</v>
      </c>
      <c r="B17" t="s">
        <v>10</v>
      </c>
      <c r="C17" t="s">
        <v>22</v>
      </c>
      <c r="D17" s="1">
        <v>45309</v>
      </c>
      <c r="E17">
        <v>1.1000000000000001</v>
      </c>
      <c r="F17">
        <v>2.2999999999999998</v>
      </c>
      <c r="G17">
        <v>1.2</v>
      </c>
      <c r="H17">
        <v>105</v>
      </c>
    </row>
    <row r="18" spans="1:8" x14ac:dyDescent="0.35">
      <c r="A18">
        <v>117</v>
      </c>
      <c r="B18" t="s">
        <v>12</v>
      </c>
      <c r="C18" t="s">
        <v>9</v>
      </c>
      <c r="D18" s="1">
        <v>45310</v>
      </c>
      <c r="E18">
        <v>1</v>
      </c>
      <c r="F18">
        <v>2.1</v>
      </c>
      <c r="G18">
        <v>1.1000000000000001</v>
      </c>
      <c r="H18">
        <v>98</v>
      </c>
    </row>
    <row r="19" spans="1:8" x14ac:dyDescent="0.35">
      <c r="A19">
        <v>118</v>
      </c>
      <c r="B19" t="s">
        <v>14</v>
      </c>
      <c r="C19" t="s">
        <v>11</v>
      </c>
      <c r="D19" s="1">
        <v>45311</v>
      </c>
      <c r="E19">
        <v>0.9</v>
      </c>
      <c r="F19">
        <v>2</v>
      </c>
      <c r="G19">
        <v>1.1000000000000001</v>
      </c>
      <c r="H19">
        <v>97</v>
      </c>
    </row>
    <row r="20" spans="1:8" x14ac:dyDescent="0.35">
      <c r="A20">
        <v>119</v>
      </c>
      <c r="B20" t="s">
        <v>16</v>
      </c>
      <c r="C20" t="s">
        <v>13</v>
      </c>
      <c r="D20" s="1">
        <v>45312</v>
      </c>
      <c r="E20">
        <v>1.3</v>
      </c>
      <c r="F20">
        <v>2.6</v>
      </c>
      <c r="G20">
        <v>1.5</v>
      </c>
      <c r="H20">
        <v>134</v>
      </c>
    </row>
    <row r="21" spans="1:8" x14ac:dyDescent="0.35">
      <c r="A21">
        <v>120</v>
      </c>
      <c r="B21" t="s">
        <v>18</v>
      </c>
      <c r="C21" t="s">
        <v>15</v>
      </c>
      <c r="D21" s="1">
        <v>45313</v>
      </c>
      <c r="E21">
        <v>1.5</v>
      </c>
      <c r="F21">
        <v>3</v>
      </c>
      <c r="G21">
        <v>1.4</v>
      </c>
      <c r="H21">
        <v>89</v>
      </c>
    </row>
    <row r="22" spans="1:8" x14ac:dyDescent="0.35">
      <c r="A22">
        <v>121</v>
      </c>
      <c r="B22" t="s">
        <v>20</v>
      </c>
      <c r="C22" t="s">
        <v>17</v>
      </c>
      <c r="D22" s="1">
        <v>45314</v>
      </c>
      <c r="E22">
        <v>1.1000000000000001</v>
      </c>
      <c r="F22">
        <v>2.4</v>
      </c>
      <c r="G22">
        <v>1.3</v>
      </c>
      <c r="H22">
        <v>93</v>
      </c>
    </row>
    <row r="23" spans="1:8" x14ac:dyDescent="0.35">
      <c r="A23">
        <v>122</v>
      </c>
      <c r="B23" t="s">
        <v>8</v>
      </c>
      <c r="C23" t="s">
        <v>19</v>
      </c>
      <c r="D23" s="1">
        <v>45315</v>
      </c>
      <c r="E23">
        <v>1.2</v>
      </c>
      <c r="F23">
        <v>2.5</v>
      </c>
      <c r="G23">
        <v>1.3</v>
      </c>
      <c r="H23">
        <v>101</v>
      </c>
    </row>
    <row r="24" spans="1:8" x14ac:dyDescent="0.35">
      <c r="A24">
        <v>123</v>
      </c>
      <c r="B24" t="s">
        <v>10</v>
      </c>
      <c r="C24" t="s">
        <v>21</v>
      </c>
      <c r="D24" s="1">
        <v>45316</v>
      </c>
      <c r="E24">
        <v>1.1000000000000001</v>
      </c>
      <c r="F24">
        <v>2.2000000000000002</v>
      </c>
      <c r="G24">
        <v>1.3</v>
      </c>
      <c r="H24">
        <v>87</v>
      </c>
    </row>
    <row r="25" spans="1:8" x14ac:dyDescent="0.35">
      <c r="A25">
        <v>124</v>
      </c>
      <c r="B25" t="s">
        <v>12</v>
      </c>
      <c r="C25" t="s">
        <v>22</v>
      </c>
      <c r="D25" s="1">
        <v>45317</v>
      </c>
      <c r="E25">
        <v>1</v>
      </c>
      <c r="F25">
        <v>2.2000000000000002</v>
      </c>
      <c r="G25">
        <v>1.2</v>
      </c>
      <c r="H25">
        <v>109</v>
      </c>
    </row>
    <row r="26" spans="1:8" x14ac:dyDescent="0.35">
      <c r="A26">
        <v>125</v>
      </c>
      <c r="B26" t="s">
        <v>14</v>
      </c>
      <c r="C26" t="s">
        <v>9</v>
      </c>
      <c r="D26" s="1">
        <v>45318</v>
      </c>
      <c r="E26">
        <v>0.9</v>
      </c>
      <c r="F26">
        <v>2</v>
      </c>
      <c r="G26">
        <v>1.5</v>
      </c>
      <c r="H26">
        <v>100</v>
      </c>
    </row>
    <row r="27" spans="1:8" x14ac:dyDescent="0.35">
      <c r="A27">
        <v>126</v>
      </c>
      <c r="B27" t="s">
        <v>16</v>
      </c>
      <c r="C27" t="s">
        <v>11</v>
      </c>
      <c r="D27" s="1">
        <v>45319</v>
      </c>
      <c r="E27">
        <v>1.3</v>
      </c>
      <c r="F27">
        <v>2.7</v>
      </c>
      <c r="G27">
        <v>1.4</v>
      </c>
      <c r="H27">
        <v>120</v>
      </c>
    </row>
    <row r="28" spans="1:8" x14ac:dyDescent="0.35">
      <c r="A28">
        <v>127</v>
      </c>
      <c r="B28" t="s">
        <v>18</v>
      </c>
      <c r="C28" t="s">
        <v>13</v>
      </c>
      <c r="D28" s="1">
        <v>45320</v>
      </c>
      <c r="E28">
        <v>1.5</v>
      </c>
      <c r="F28">
        <v>3.1</v>
      </c>
      <c r="G28">
        <v>1.6</v>
      </c>
      <c r="H28">
        <v>85</v>
      </c>
    </row>
    <row r="29" spans="1:8" x14ac:dyDescent="0.35">
      <c r="A29">
        <v>128</v>
      </c>
      <c r="B29" t="s">
        <v>20</v>
      </c>
      <c r="C29" t="s">
        <v>15</v>
      </c>
      <c r="D29" s="1">
        <v>45321</v>
      </c>
      <c r="E29">
        <v>1.1000000000000001</v>
      </c>
      <c r="F29">
        <v>2.4</v>
      </c>
      <c r="G29">
        <v>1.3</v>
      </c>
      <c r="H29">
        <v>91</v>
      </c>
    </row>
    <row r="30" spans="1:8" x14ac:dyDescent="0.35">
      <c r="A30">
        <v>129</v>
      </c>
      <c r="B30" t="s">
        <v>8</v>
      </c>
      <c r="C30" t="s">
        <v>17</v>
      </c>
      <c r="D30" s="1">
        <v>45323</v>
      </c>
      <c r="E30">
        <v>1.2</v>
      </c>
      <c r="F30">
        <v>2.5</v>
      </c>
      <c r="G30">
        <v>1.3</v>
      </c>
      <c r="H30">
        <v>108</v>
      </c>
    </row>
    <row r="31" spans="1:8" x14ac:dyDescent="0.35">
      <c r="A31">
        <v>130</v>
      </c>
      <c r="B31" t="s">
        <v>10</v>
      </c>
      <c r="C31" t="s">
        <v>19</v>
      </c>
      <c r="D31" s="1">
        <v>45324</v>
      </c>
      <c r="E31">
        <v>1.1000000000000001</v>
      </c>
      <c r="F31">
        <v>2.2999999999999998</v>
      </c>
      <c r="G31">
        <v>1.2</v>
      </c>
      <c r="H31">
        <v>96</v>
      </c>
    </row>
    <row r="32" spans="1:8" x14ac:dyDescent="0.35">
      <c r="A32">
        <v>131</v>
      </c>
      <c r="B32" t="s">
        <v>12</v>
      </c>
      <c r="C32" t="s">
        <v>21</v>
      </c>
      <c r="D32" s="1">
        <v>45325</v>
      </c>
      <c r="E32">
        <v>1</v>
      </c>
      <c r="F32">
        <v>0.9</v>
      </c>
      <c r="G32">
        <v>-0.1</v>
      </c>
      <c r="H32">
        <v>104</v>
      </c>
    </row>
    <row r="33" spans="1:8" x14ac:dyDescent="0.35">
      <c r="A33">
        <v>132</v>
      </c>
      <c r="B33" t="s">
        <v>14</v>
      </c>
      <c r="C33" t="s">
        <v>22</v>
      </c>
      <c r="D33" s="1">
        <v>45326</v>
      </c>
      <c r="E33">
        <v>0.9</v>
      </c>
      <c r="F33">
        <v>2</v>
      </c>
      <c r="G33">
        <v>1.1000000000000001</v>
      </c>
      <c r="H33">
        <v>99</v>
      </c>
    </row>
    <row r="34" spans="1:8" x14ac:dyDescent="0.35">
      <c r="A34">
        <v>133</v>
      </c>
      <c r="B34" t="s">
        <v>16</v>
      </c>
      <c r="C34" t="s">
        <v>9</v>
      </c>
      <c r="D34" s="1">
        <v>45327</v>
      </c>
      <c r="E34">
        <v>1.3</v>
      </c>
      <c r="F34">
        <v>2.7</v>
      </c>
      <c r="G34">
        <v>1.4</v>
      </c>
      <c r="H34">
        <v>137</v>
      </c>
    </row>
    <row r="35" spans="1:8" x14ac:dyDescent="0.35">
      <c r="A35">
        <v>134</v>
      </c>
      <c r="B35" t="s">
        <v>18</v>
      </c>
      <c r="C35" t="s">
        <v>11</v>
      </c>
      <c r="D35" s="1">
        <v>45328</v>
      </c>
      <c r="E35">
        <v>1.5</v>
      </c>
      <c r="F35">
        <v>3</v>
      </c>
      <c r="G35">
        <v>1.5</v>
      </c>
      <c r="H35">
        <v>82</v>
      </c>
    </row>
    <row r="36" spans="1:8" x14ac:dyDescent="0.35">
      <c r="A36">
        <v>135</v>
      </c>
      <c r="B36" t="s">
        <v>20</v>
      </c>
      <c r="C36" t="s">
        <v>13</v>
      </c>
      <c r="D36" s="1">
        <v>45329</v>
      </c>
      <c r="E36">
        <v>1.1000000000000001</v>
      </c>
      <c r="F36">
        <v>2.4</v>
      </c>
      <c r="G36">
        <v>1.3</v>
      </c>
      <c r="H36">
        <v>90</v>
      </c>
    </row>
    <row r="37" spans="1:8" x14ac:dyDescent="0.35">
      <c r="A37">
        <v>136</v>
      </c>
      <c r="B37" t="s">
        <v>8</v>
      </c>
      <c r="C37" t="s">
        <v>15</v>
      </c>
      <c r="D37" s="1">
        <v>45330</v>
      </c>
      <c r="E37">
        <v>1.2</v>
      </c>
      <c r="F37">
        <v>2.5</v>
      </c>
      <c r="G37">
        <v>1.3</v>
      </c>
      <c r="H37">
        <v>114</v>
      </c>
    </row>
    <row r="38" spans="1:8" x14ac:dyDescent="0.35">
      <c r="A38">
        <v>137</v>
      </c>
      <c r="B38" t="s">
        <v>10</v>
      </c>
      <c r="C38" t="s">
        <v>17</v>
      </c>
      <c r="D38" s="1">
        <v>45331</v>
      </c>
      <c r="E38">
        <v>1.1000000000000001</v>
      </c>
      <c r="G38">
        <v>1.2</v>
      </c>
      <c r="H38">
        <v>94</v>
      </c>
    </row>
    <row r="39" spans="1:8" x14ac:dyDescent="0.35">
      <c r="A39">
        <v>138</v>
      </c>
      <c r="B39" t="s">
        <v>12</v>
      </c>
      <c r="C39" t="s">
        <v>19</v>
      </c>
      <c r="D39" s="1">
        <v>45332</v>
      </c>
      <c r="E39">
        <v>1</v>
      </c>
      <c r="F39">
        <v>2.2000000000000002</v>
      </c>
      <c r="G39">
        <v>1.2</v>
      </c>
      <c r="H39">
        <v>107</v>
      </c>
    </row>
    <row r="40" spans="1:8" x14ac:dyDescent="0.35">
      <c r="A40">
        <v>139</v>
      </c>
      <c r="B40" t="s">
        <v>14</v>
      </c>
      <c r="C40" t="s">
        <v>21</v>
      </c>
      <c r="D40" s="1">
        <v>45333</v>
      </c>
      <c r="E40">
        <v>0.9</v>
      </c>
      <c r="F40">
        <v>2</v>
      </c>
      <c r="G40">
        <v>1.1000000000000001</v>
      </c>
      <c r="H40">
        <v>95</v>
      </c>
    </row>
    <row r="41" spans="1:8" x14ac:dyDescent="0.35">
      <c r="A41">
        <v>140</v>
      </c>
      <c r="B41" t="s">
        <v>16</v>
      </c>
      <c r="C41" t="s">
        <v>22</v>
      </c>
      <c r="D41" s="1">
        <v>45334</v>
      </c>
      <c r="E41">
        <v>1.3</v>
      </c>
      <c r="F41">
        <v>2.7</v>
      </c>
      <c r="G41">
        <v>1.4</v>
      </c>
      <c r="H41">
        <v>122</v>
      </c>
    </row>
    <row r="42" spans="1:8" x14ac:dyDescent="0.35">
      <c r="A42">
        <v>141</v>
      </c>
      <c r="B42" t="s">
        <v>18</v>
      </c>
      <c r="C42" t="s">
        <v>9</v>
      </c>
      <c r="D42" s="1">
        <v>45335</v>
      </c>
      <c r="E42">
        <v>1.5</v>
      </c>
      <c r="F42">
        <v>3.1</v>
      </c>
      <c r="G42">
        <v>1.7</v>
      </c>
      <c r="H42">
        <v>86</v>
      </c>
    </row>
    <row r="43" spans="1:8" x14ac:dyDescent="0.35">
      <c r="A43">
        <v>142</v>
      </c>
      <c r="B43" t="s">
        <v>20</v>
      </c>
      <c r="C43" t="s">
        <v>11</v>
      </c>
      <c r="D43" s="1">
        <v>45336</v>
      </c>
      <c r="E43">
        <v>1.1000000000000001</v>
      </c>
      <c r="F43">
        <v>2.4</v>
      </c>
      <c r="G43">
        <v>1.3</v>
      </c>
      <c r="H43">
        <v>91</v>
      </c>
    </row>
    <row r="44" spans="1:8" x14ac:dyDescent="0.35">
      <c r="A44">
        <v>143</v>
      </c>
      <c r="B44" t="s">
        <v>8</v>
      </c>
      <c r="C44" t="s">
        <v>13</v>
      </c>
      <c r="D44" t="s">
        <v>23</v>
      </c>
      <c r="E44">
        <v>1.2</v>
      </c>
      <c r="F44">
        <v>2.5</v>
      </c>
      <c r="G44">
        <v>1.3</v>
      </c>
      <c r="H44">
        <v>111</v>
      </c>
    </row>
    <row r="45" spans="1:8" x14ac:dyDescent="0.35">
      <c r="A45">
        <v>144</v>
      </c>
      <c r="B45" t="s">
        <v>10</v>
      </c>
      <c r="C45" t="s">
        <v>15</v>
      </c>
      <c r="D45" s="1">
        <v>45338</v>
      </c>
      <c r="E45">
        <v>1.1000000000000001</v>
      </c>
      <c r="F45">
        <v>2.2999999999999998</v>
      </c>
      <c r="G45">
        <v>1.2</v>
      </c>
      <c r="H45">
        <v>93</v>
      </c>
    </row>
    <row r="46" spans="1:8" x14ac:dyDescent="0.35">
      <c r="A46">
        <v>145</v>
      </c>
      <c r="B46" t="s">
        <v>12</v>
      </c>
      <c r="C46" t="s">
        <v>17</v>
      </c>
      <c r="D46" s="1">
        <v>45339</v>
      </c>
      <c r="E46">
        <v>1</v>
      </c>
      <c r="F46">
        <v>2.2000000000000002</v>
      </c>
      <c r="G46">
        <v>1.2</v>
      </c>
      <c r="H46">
        <v>105</v>
      </c>
    </row>
    <row r="47" spans="1:8" x14ac:dyDescent="0.35">
      <c r="A47">
        <v>146</v>
      </c>
      <c r="B47" t="s">
        <v>14</v>
      </c>
      <c r="C47" t="s">
        <v>19</v>
      </c>
      <c r="D47" s="1">
        <v>45340</v>
      </c>
      <c r="E47">
        <v>0.9</v>
      </c>
      <c r="F47">
        <v>2</v>
      </c>
      <c r="G47">
        <v>1.1000000000000001</v>
      </c>
      <c r="H47">
        <v>98</v>
      </c>
    </row>
    <row r="48" spans="1:8" x14ac:dyDescent="0.35">
      <c r="A48">
        <v>147</v>
      </c>
      <c r="B48" t="s">
        <v>16</v>
      </c>
      <c r="C48" t="s">
        <v>21</v>
      </c>
      <c r="D48" s="1">
        <v>45341</v>
      </c>
      <c r="E48">
        <v>1.3</v>
      </c>
      <c r="F48">
        <v>2.7</v>
      </c>
      <c r="G48">
        <v>1.4</v>
      </c>
      <c r="H48">
        <v>121</v>
      </c>
    </row>
    <row r="49" spans="1:8" x14ac:dyDescent="0.35">
      <c r="A49">
        <v>148</v>
      </c>
      <c r="B49" t="s">
        <v>18</v>
      </c>
      <c r="C49" t="s">
        <v>22</v>
      </c>
      <c r="D49" s="1">
        <v>45342</v>
      </c>
      <c r="E49">
        <v>1.5</v>
      </c>
      <c r="F49">
        <v>3</v>
      </c>
      <c r="G49">
        <v>1.5</v>
      </c>
      <c r="H49">
        <v>87</v>
      </c>
    </row>
    <row r="50" spans="1:8" x14ac:dyDescent="0.35">
      <c r="A50">
        <v>149</v>
      </c>
      <c r="B50" t="s">
        <v>20</v>
      </c>
      <c r="C50" t="s">
        <v>9</v>
      </c>
      <c r="D50" s="1">
        <v>45343</v>
      </c>
      <c r="E50">
        <v>1.1000000000000001</v>
      </c>
      <c r="F50">
        <v>2.4</v>
      </c>
      <c r="G50">
        <v>1.3</v>
      </c>
      <c r="H50">
        <v>92</v>
      </c>
    </row>
    <row r="51" spans="1:8" x14ac:dyDescent="0.35">
      <c r="A51">
        <v>150</v>
      </c>
      <c r="B51" t="s">
        <v>8</v>
      </c>
      <c r="C51" t="s">
        <v>11</v>
      </c>
      <c r="D51" s="1">
        <v>45344</v>
      </c>
      <c r="E51">
        <v>1.2</v>
      </c>
      <c r="F51">
        <v>2.5</v>
      </c>
      <c r="G51">
        <v>1.3</v>
      </c>
      <c r="H51">
        <v>113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A4737-4068-4BDC-8F87-16030696B847}">
  <dimension ref="A1:I59"/>
  <sheetViews>
    <sheetView workbookViewId="0">
      <selection activeCell="H6" sqref="H6"/>
    </sheetView>
  </sheetViews>
  <sheetFormatPr defaultRowHeight="14.5" x14ac:dyDescent="0.35"/>
  <cols>
    <col min="1" max="1" width="12.26953125" bestFit="1" customWidth="1"/>
    <col min="2" max="2" width="30.54296875" customWidth="1"/>
    <col min="3" max="3" width="9.7265625" bestFit="1" customWidth="1"/>
    <col min="4" max="4" width="10.08984375" bestFit="1" customWidth="1"/>
    <col min="5" max="5" width="13.453125" bestFit="1" customWidth="1"/>
    <col min="6" max="6" width="6.90625" bestFit="1" customWidth="1"/>
    <col min="7" max="7" width="7.6328125" bestFit="1" customWidth="1"/>
    <col min="8" max="8" width="11.6328125" bestFit="1" customWidth="1"/>
    <col min="9" max="9" width="12.08984375" bestFit="1" customWidth="1"/>
    <col min="13" max="13" width="9.36328125" bestFit="1" customWidth="1"/>
    <col min="14" max="14" width="30.54296875" bestFit="1" customWidth="1"/>
    <col min="15" max="15" width="8.08984375" bestFit="1" customWidth="1"/>
    <col min="16" max="16" width="10.08984375" bestFit="1" customWidth="1"/>
    <col min="17" max="17" width="4.36328125" bestFit="1" customWidth="1"/>
    <col min="18" max="18" width="10.90625" bestFit="1" customWidth="1"/>
    <col min="19" max="19" width="5.08984375" bestFit="1" customWidth="1"/>
    <col min="20" max="20" width="9" bestFit="1" customWidth="1"/>
  </cols>
  <sheetData>
    <row r="1" spans="1:9" x14ac:dyDescent="0.35">
      <c r="A1" t="s">
        <v>27</v>
      </c>
      <c r="B1" t="s">
        <v>24</v>
      </c>
      <c r="C1" t="s">
        <v>28</v>
      </c>
      <c r="D1" t="s">
        <v>32</v>
      </c>
      <c r="E1" t="s">
        <v>31</v>
      </c>
      <c r="F1" t="s">
        <v>30</v>
      </c>
      <c r="G1" t="s">
        <v>29</v>
      </c>
      <c r="H1" t="s">
        <v>26</v>
      </c>
      <c r="I1" t="s">
        <v>25</v>
      </c>
    </row>
    <row r="2" spans="1:9" x14ac:dyDescent="0.35">
      <c r="A2">
        <v>101</v>
      </c>
      <c r="B2" t="s">
        <v>8</v>
      </c>
      <c r="C2" t="s">
        <v>9</v>
      </c>
      <c r="D2" s="1">
        <v>45294</v>
      </c>
      <c r="E2" s="2">
        <v>2.5</v>
      </c>
      <c r="F2" s="2">
        <v>1.2</v>
      </c>
      <c r="G2" s="2">
        <f t="shared" ref="G2:G33" si="0">E2-F2</f>
        <v>1.3</v>
      </c>
      <c r="H2">
        <v>120</v>
      </c>
      <c r="I2" s="2">
        <f>H2*G2</f>
        <v>156</v>
      </c>
    </row>
    <row r="3" spans="1:9" x14ac:dyDescent="0.35">
      <c r="A3">
        <v>102</v>
      </c>
      <c r="B3" t="s">
        <v>10</v>
      </c>
      <c r="C3" t="s">
        <v>11</v>
      </c>
      <c r="D3" s="1">
        <v>45295</v>
      </c>
      <c r="E3" s="2">
        <v>2.2999999999999998</v>
      </c>
      <c r="F3" s="2">
        <v>1.1000000000000001</v>
      </c>
      <c r="G3" s="2">
        <f t="shared" si="0"/>
        <v>1.1999999999999997</v>
      </c>
      <c r="H3">
        <v>95</v>
      </c>
      <c r="I3" s="2">
        <f t="shared" ref="I3:I51" si="1">H3*G3</f>
        <v>113.99999999999997</v>
      </c>
    </row>
    <row r="4" spans="1:9" x14ac:dyDescent="0.35">
      <c r="A4">
        <v>103</v>
      </c>
      <c r="B4" t="s">
        <v>12</v>
      </c>
      <c r="C4" t="s">
        <v>13</v>
      </c>
      <c r="D4" s="1">
        <v>45296</v>
      </c>
      <c r="E4" s="2">
        <v>2.2000000000000002</v>
      </c>
      <c r="F4" s="2">
        <v>1</v>
      </c>
      <c r="G4" s="2">
        <f t="shared" si="0"/>
        <v>1.2000000000000002</v>
      </c>
      <c r="H4">
        <v>110</v>
      </c>
      <c r="I4" s="2">
        <f t="shared" si="1"/>
        <v>132.00000000000003</v>
      </c>
    </row>
    <row r="5" spans="1:9" x14ac:dyDescent="0.35">
      <c r="A5">
        <v>104</v>
      </c>
      <c r="B5" t="s">
        <v>14</v>
      </c>
      <c r="C5" t="s">
        <v>15</v>
      </c>
      <c r="D5" s="1">
        <v>45297</v>
      </c>
      <c r="E5" s="2">
        <v>2</v>
      </c>
      <c r="F5" s="2">
        <v>0.9</v>
      </c>
      <c r="G5" s="2">
        <f t="shared" si="0"/>
        <v>1.1000000000000001</v>
      </c>
      <c r="H5">
        <v>100</v>
      </c>
      <c r="I5" s="2">
        <f t="shared" si="1"/>
        <v>110.00000000000001</v>
      </c>
    </row>
    <row r="6" spans="1:9" x14ac:dyDescent="0.35">
      <c r="A6">
        <v>105</v>
      </c>
      <c r="B6" t="s">
        <v>16</v>
      </c>
      <c r="C6" t="s">
        <v>17</v>
      </c>
      <c r="D6" s="1">
        <v>45298</v>
      </c>
      <c r="E6" s="2">
        <v>2.7</v>
      </c>
      <c r="F6" s="2">
        <v>1.3</v>
      </c>
      <c r="G6" s="2">
        <f t="shared" si="0"/>
        <v>1.4000000000000001</v>
      </c>
      <c r="H6">
        <v>130</v>
      </c>
      <c r="I6" s="2">
        <f t="shared" si="1"/>
        <v>182.00000000000003</v>
      </c>
    </row>
    <row r="7" spans="1:9" x14ac:dyDescent="0.35">
      <c r="A7">
        <v>106</v>
      </c>
      <c r="B7" t="s">
        <v>18</v>
      </c>
      <c r="C7" t="s">
        <v>19</v>
      </c>
      <c r="D7" s="1">
        <v>45299</v>
      </c>
      <c r="E7" s="2">
        <v>3</v>
      </c>
      <c r="F7" s="2">
        <v>1.5</v>
      </c>
      <c r="G7" s="2">
        <f t="shared" si="0"/>
        <v>1.5</v>
      </c>
      <c r="H7">
        <v>85</v>
      </c>
      <c r="I7" s="2">
        <f t="shared" si="1"/>
        <v>127.5</v>
      </c>
    </row>
    <row r="8" spans="1:9" x14ac:dyDescent="0.35">
      <c r="A8">
        <v>107</v>
      </c>
      <c r="B8" t="s">
        <v>20</v>
      </c>
      <c r="C8" t="s">
        <v>21</v>
      </c>
      <c r="D8" s="1">
        <v>45300</v>
      </c>
      <c r="E8" s="2">
        <v>2.4</v>
      </c>
      <c r="F8" s="2">
        <v>1.1000000000000001</v>
      </c>
      <c r="G8" s="2">
        <f t="shared" si="0"/>
        <v>1.2999999999999998</v>
      </c>
      <c r="H8">
        <v>90</v>
      </c>
      <c r="I8" s="2">
        <f t="shared" si="1"/>
        <v>116.99999999999999</v>
      </c>
    </row>
    <row r="9" spans="1:9" x14ac:dyDescent="0.35">
      <c r="A9">
        <v>108</v>
      </c>
      <c r="B9" t="s">
        <v>8</v>
      </c>
      <c r="C9" t="s">
        <v>22</v>
      </c>
      <c r="D9" s="1">
        <v>45301</v>
      </c>
      <c r="E9" s="2">
        <v>2.5</v>
      </c>
      <c r="F9" s="2">
        <v>1.2</v>
      </c>
      <c r="G9" s="2">
        <f t="shared" si="0"/>
        <v>1.3</v>
      </c>
      <c r="H9">
        <v>115</v>
      </c>
      <c r="I9" s="2">
        <f t="shared" si="1"/>
        <v>149.5</v>
      </c>
    </row>
    <row r="10" spans="1:9" x14ac:dyDescent="0.35">
      <c r="A10">
        <v>109</v>
      </c>
      <c r="B10" t="s">
        <v>10</v>
      </c>
      <c r="C10" t="s">
        <v>9</v>
      </c>
      <c r="D10" s="1">
        <v>45302</v>
      </c>
      <c r="E10" s="2">
        <v>2.2999999999999998</v>
      </c>
      <c r="F10" s="2">
        <v>1.1000000000000001</v>
      </c>
      <c r="G10" s="2">
        <f t="shared" si="0"/>
        <v>1.1999999999999997</v>
      </c>
      <c r="H10">
        <v>102</v>
      </c>
      <c r="I10" s="2">
        <f t="shared" si="1"/>
        <v>122.39999999999998</v>
      </c>
    </row>
    <row r="11" spans="1:9" x14ac:dyDescent="0.35">
      <c r="A11">
        <v>110</v>
      </c>
      <c r="B11" t="s">
        <v>12</v>
      </c>
      <c r="C11" t="s">
        <v>11</v>
      </c>
      <c r="D11" s="1">
        <v>45303</v>
      </c>
      <c r="E11" s="2">
        <v>2.2000000000000002</v>
      </c>
      <c r="F11" s="2">
        <v>1</v>
      </c>
      <c r="G11" s="2">
        <f t="shared" si="0"/>
        <v>1.2000000000000002</v>
      </c>
      <c r="H11">
        <v>108</v>
      </c>
      <c r="I11" s="2">
        <f t="shared" si="1"/>
        <v>129.60000000000002</v>
      </c>
    </row>
    <row r="12" spans="1:9" x14ac:dyDescent="0.35">
      <c r="A12">
        <v>111</v>
      </c>
      <c r="B12" t="s">
        <v>14</v>
      </c>
      <c r="C12" t="s">
        <v>13</v>
      </c>
      <c r="D12" s="1">
        <v>45304</v>
      </c>
      <c r="E12" s="2">
        <v>1.8</v>
      </c>
      <c r="F12" s="2">
        <v>0.9</v>
      </c>
      <c r="G12" s="2">
        <f t="shared" si="0"/>
        <v>0.9</v>
      </c>
      <c r="H12">
        <v>99</v>
      </c>
      <c r="I12" s="2">
        <f t="shared" si="1"/>
        <v>89.100000000000009</v>
      </c>
    </row>
    <row r="13" spans="1:9" x14ac:dyDescent="0.35">
      <c r="A13">
        <v>112</v>
      </c>
      <c r="B13" t="s">
        <v>16</v>
      </c>
      <c r="C13" t="s">
        <v>15</v>
      </c>
      <c r="D13" s="1">
        <v>45305</v>
      </c>
      <c r="E13" s="2">
        <v>2.7</v>
      </c>
      <c r="F13" s="2">
        <v>1.3</v>
      </c>
      <c r="G13" s="2">
        <f t="shared" si="0"/>
        <v>1.4000000000000001</v>
      </c>
      <c r="H13">
        <v>140</v>
      </c>
      <c r="I13" s="2">
        <f t="shared" si="1"/>
        <v>196.00000000000003</v>
      </c>
    </row>
    <row r="14" spans="1:9" x14ac:dyDescent="0.35">
      <c r="A14">
        <v>113</v>
      </c>
      <c r="B14" t="s">
        <v>18</v>
      </c>
      <c r="C14" t="s">
        <v>17</v>
      </c>
      <c r="D14" s="1">
        <v>45306</v>
      </c>
      <c r="E14" s="2">
        <v>3.1</v>
      </c>
      <c r="F14" s="2">
        <v>1.5</v>
      </c>
      <c r="G14" s="2">
        <f t="shared" si="0"/>
        <v>1.6</v>
      </c>
      <c r="H14">
        <v>88</v>
      </c>
      <c r="I14" s="2">
        <f t="shared" si="1"/>
        <v>140.80000000000001</v>
      </c>
    </row>
    <row r="15" spans="1:9" x14ac:dyDescent="0.35">
      <c r="A15">
        <v>114</v>
      </c>
      <c r="B15" t="s">
        <v>20</v>
      </c>
      <c r="C15" t="s">
        <v>19</v>
      </c>
      <c r="D15" s="1">
        <v>45307</v>
      </c>
      <c r="E15" s="2">
        <v>2.4</v>
      </c>
      <c r="F15" s="2">
        <v>1.1000000000000001</v>
      </c>
      <c r="G15" s="2">
        <f t="shared" si="0"/>
        <v>1.2999999999999998</v>
      </c>
      <c r="H15">
        <v>92</v>
      </c>
      <c r="I15" s="2">
        <f t="shared" si="1"/>
        <v>119.59999999999998</v>
      </c>
    </row>
    <row r="16" spans="1:9" x14ac:dyDescent="0.35">
      <c r="A16">
        <v>115</v>
      </c>
      <c r="B16" t="s">
        <v>8</v>
      </c>
      <c r="C16" t="s">
        <v>21</v>
      </c>
      <c r="D16" s="1">
        <v>45308</v>
      </c>
      <c r="E16" s="2">
        <v>2.5</v>
      </c>
      <c r="F16" s="2">
        <v>1.2</v>
      </c>
      <c r="G16" s="2">
        <f t="shared" si="0"/>
        <v>1.3</v>
      </c>
      <c r="H16">
        <v>50</v>
      </c>
      <c r="I16" s="2">
        <f t="shared" si="1"/>
        <v>65</v>
      </c>
    </row>
    <row r="17" spans="1:9" x14ac:dyDescent="0.35">
      <c r="A17">
        <v>116</v>
      </c>
      <c r="B17" t="s">
        <v>10</v>
      </c>
      <c r="C17" t="s">
        <v>22</v>
      </c>
      <c r="D17" s="1">
        <v>45309</v>
      </c>
      <c r="E17" s="2">
        <v>2.2999999999999998</v>
      </c>
      <c r="F17" s="2">
        <v>1.1000000000000001</v>
      </c>
      <c r="G17" s="2">
        <f t="shared" si="0"/>
        <v>1.1999999999999997</v>
      </c>
      <c r="H17">
        <v>105</v>
      </c>
      <c r="I17" s="2">
        <f t="shared" si="1"/>
        <v>125.99999999999997</v>
      </c>
    </row>
    <row r="18" spans="1:9" x14ac:dyDescent="0.35">
      <c r="A18">
        <v>117</v>
      </c>
      <c r="B18" t="s">
        <v>12</v>
      </c>
      <c r="C18" t="s">
        <v>9</v>
      </c>
      <c r="D18" s="1">
        <v>45310</v>
      </c>
      <c r="E18" s="2">
        <v>2.1</v>
      </c>
      <c r="F18" s="2">
        <v>1</v>
      </c>
      <c r="G18" s="2">
        <f t="shared" si="0"/>
        <v>1.1000000000000001</v>
      </c>
      <c r="H18">
        <v>98</v>
      </c>
      <c r="I18" s="2">
        <f t="shared" si="1"/>
        <v>107.80000000000001</v>
      </c>
    </row>
    <row r="19" spans="1:9" x14ac:dyDescent="0.35">
      <c r="A19">
        <v>118</v>
      </c>
      <c r="B19" t="s">
        <v>14</v>
      </c>
      <c r="C19" t="s">
        <v>11</v>
      </c>
      <c r="D19" s="1">
        <v>45311</v>
      </c>
      <c r="E19" s="2">
        <v>2</v>
      </c>
      <c r="F19" s="2">
        <v>0.9</v>
      </c>
      <c r="G19" s="2">
        <f t="shared" si="0"/>
        <v>1.1000000000000001</v>
      </c>
      <c r="H19">
        <v>97</v>
      </c>
      <c r="I19" s="2">
        <f t="shared" si="1"/>
        <v>106.7</v>
      </c>
    </row>
    <row r="20" spans="1:9" x14ac:dyDescent="0.35">
      <c r="A20">
        <v>119</v>
      </c>
      <c r="B20" t="s">
        <v>16</v>
      </c>
      <c r="C20" t="s">
        <v>13</v>
      </c>
      <c r="D20" s="1">
        <v>45312</v>
      </c>
      <c r="E20" s="2">
        <v>2.6</v>
      </c>
      <c r="F20" s="2">
        <v>1.3</v>
      </c>
      <c r="G20" s="2">
        <f t="shared" si="0"/>
        <v>1.3</v>
      </c>
      <c r="H20">
        <v>134</v>
      </c>
      <c r="I20" s="2">
        <f t="shared" si="1"/>
        <v>174.20000000000002</v>
      </c>
    </row>
    <row r="21" spans="1:9" x14ac:dyDescent="0.35">
      <c r="A21">
        <v>120</v>
      </c>
      <c r="B21" t="s">
        <v>18</v>
      </c>
      <c r="C21" t="s">
        <v>15</v>
      </c>
      <c r="D21" s="1">
        <v>45313</v>
      </c>
      <c r="E21" s="2">
        <v>3</v>
      </c>
      <c r="F21" s="2">
        <v>1.5</v>
      </c>
      <c r="G21" s="2">
        <f t="shared" si="0"/>
        <v>1.5</v>
      </c>
      <c r="H21">
        <v>89</v>
      </c>
      <c r="I21" s="2">
        <f t="shared" si="1"/>
        <v>133.5</v>
      </c>
    </row>
    <row r="22" spans="1:9" x14ac:dyDescent="0.35">
      <c r="A22">
        <v>121</v>
      </c>
      <c r="B22" t="s">
        <v>20</v>
      </c>
      <c r="C22" t="s">
        <v>17</v>
      </c>
      <c r="D22" s="1">
        <v>45314</v>
      </c>
      <c r="E22" s="2">
        <v>2.4</v>
      </c>
      <c r="F22" s="2">
        <v>1.1000000000000001</v>
      </c>
      <c r="G22" s="2">
        <f t="shared" si="0"/>
        <v>1.2999999999999998</v>
      </c>
      <c r="H22">
        <v>93</v>
      </c>
      <c r="I22" s="2">
        <f t="shared" si="1"/>
        <v>120.89999999999998</v>
      </c>
    </row>
    <row r="23" spans="1:9" x14ac:dyDescent="0.35">
      <c r="A23">
        <v>122</v>
      </c>
      <c r="B23" t="s">
        <v>8</v>
      </c>
      <c r="C23" t="s">
        <v>19</v>
      </c>
      <c r="D23" s="1">
        <v>45315</v>
      </c>
      <c r="E23" s="2">
        <v>2.5</v>
      </c>
      <c r="F23" s="2">
        <v>1.2</v>
      </c>
      <c r="G23" s="2">
        <f t="shared" si="0"/>
        <v>1.3</v>
      </c>
      <c r="H23">
        <v>101</v>
      </c>
      <c r="I23" s="2">
        <f t="shared" si="1"/>
        <v>131.30000000000001</v>
      </c>
    </row>
    <row r="24" spans="1:9" x14ac:dyDescent="0.35">
      <c r="A24">
        <v>123</v>
      </c>
      <c r="B24" t="s">
        <v>10</v>
      </c>
      <c r="C24" t="s">
        <v>21</v>
      </c>
      <c r="D24" s="1">
        <v>45316</v>
      </c>
      <c r="E24" s="2">
        <v>2.2000000000000002</v>
      </c>
      <c r="F24" s="2">
        <v>1.1000000000000001</v>
      </c>
      <c r="G24" s="2">
        <f t="shared" si="0"/>
        <v>1.1000000000000001</v>
      </c>
      <c r="H24">
        <v>87</v>
      </c>
      <c r="I24" s="2">
        <f t="shared" si="1"/>
        <v>95.7</v>
      </c>
    </row>
    <row r="25" spans="1:9" x14ac:dyDescent="0.35">
      <c r="A25">
        <v>124</v>
      </c>
      <c r="B25" t="s">
        <v>12</v>
      </c>
      <c r="C25" t="s">
        <v>22</v>
      </c>
      <c r="D25" s="1">
        <v>45317</v>
      </c>
      <c r="E25" s="2">
        <v>2.2000000000000002</v>
      </c>
      <c r="F25" s="2">
        <v>1</v>
      </c>
      <c r="G25" s="2">
        <f t="shared" si="0"/>
        <v>1.2000000000000002</v>
      </c>
      <c r="H25">
        <v>109</v>
      </c>
      <c r="I25" s="2">
        <f t="shared" si="1"/>
        <v>130.80000000000001</v>
      </c>
    </row>
    <row r="26" spans="1:9" x14ac:dyDescent="0.35">
      <c r="A26">
        <v>125</v>
      </c>
      <c r="B26" t="s">
        <v>14</v>
      </c>
      <c r="C26" t="s">
        <v>9</v>
      </c>
      <c r="D26" s="1">
        <v>45318</v>
      </c>
      <c r="E26" s="2">
        <v>2</v>
      </c>
      <c r="F26" s="2">
        <v>0.9</v>
      </c>
      <c r="G26" s="2">
        <f t="shared" si="0"/>
        <v>1.1000000000000001</v>
      </c>
      <c r="H26">
        <v>100</v>
      </c>
      <c r="I26" s="2">
        <f t="shared" si="1"/>
        <v>110.00000000000001</v>
      </c>
    </row>
    <row r="27" spans="1:9" x14ac:dyDescent="0.35">
      <c r="A27">
        <v>126</v>
      </c>
      <c r="B27" t="s">
        <v>16</v>
      </c>
      <c r="C27" t="s">
        <v>11</v>
      </c>
      <c r="D27" s="1">
        <v>45319</v>
      </c>
      <c r="E27" s="2">
        <v>2.7</v>
      </c>
      <c r="F27" s="2">
        <v>1.3</v>
      </c>
      <c r="G27" s="2">
        <f t="shared" si="0"/>
        <v>1.4000000000000001</v>
      </c>
      <c r="H27">
        <v>120</v>
      </c>
      <c r="I27" s="2">
        <f t="shared" si="1"/>
        <v>168.00000000000003</v>
      </c>
    </row>
    <row r="28" spans="1:9" x14ac:dyDescent="0.35">
      <c r="A28">
        <v>127</v>
      </c>
      <c r="B28" t="s">
        <v>18</v>
      </c>
      <c r="C28" t="s">
        <v>13</v>
      </c>
      <c r="D28" s="1">
        <v>45320</v>
      </c>
      <c r="E28" s="2">
        <v>3.1</v>
      </c>
      <c r="F28" s="2">
        <v>1.5</v>
      </c>
      <c r="G28" s="2">
        <f t="shared" si="0"/>
        <v>1.6</v>
      </c>
      <c r="H28">
        <v>85</v>
      </c>
      <c r="I28" s="2">
        <f t="shared" si="1"/>
        <v>136</v>
      </c>
    </row>
    <row r="29" spans="1:9" x14ac:dyDescent="0.35">
      <c r="A29">
        <v>128</v>
      </c>
      <c r="B29" t="s">
        <v>20</v>
      </c>
      <c r="C29" t="s">
        <v>15</v>
      </c>
      <c r="D29" s="1">
        <v>45321</v>
      </c>
      <c r="E29" s="2">
        <v>2.4</v>
      </c>
      <c r="F29" s="2">
        <v>1.1000000000000001</v>
      </c>
      <c r="G29" s="2">
        <f t="shared" si="0"/>
        <v>1.2999999999999998</v>
      </c>
      <c r="H29">
        <v>91</v>
      </c>
      <c r="I29" s="2">
        <f t="shared" si="1"/>
        <v>118.29999999999998</v>
      </c>
    </row>
    <row r="30" spans="1:9" x14ac:dyDescent="0.35">
      <c r="A30">
        <v>129</v>
      </c>
      <c r="B30" t="s">
        <v>8</v>
      </c>
      <c r="C30" t="s">
        <v>17</v>
      </c>
      <c r="D30" s="1">
        <v>45323</v>
      </c>
      <c r="E30" s="2">
        <v>2.5</v>
      </c>
      <c r="F30" s="2">
        <v>1.2</v>
      </c>
      <c r="G30" s="2">
        <f t="shared" si="0"/>
        <v>1.3</v>
      </c>
      <c r="H30">
        <v>108</v>
      </c>
      <c r="I30" s="2">
        <f t="shared" si="1"/>
        <v>140.4</v>
      </c>
    </row>
    <row r="31" spans="1:9" x14ac:dyDescent="0.35">
      <c r="A31">
        <v>130</v>
      </c>
      <c r="B31" t="s">
        <v>10</v>
      </c>
      <c r="C31" t="s">
        <v>19</v>
      </c>
      <c r="D31" s="1">
        <v>45324</v>
      </c>
      <c r="E31" s="2">
        <v>2.2999999999999998</v>
      </c>
      <c r="F31" s="2">
        <v>1.1000000000000001</v>
      </c>
      <c r="G31" s="2">
        <f t="shared" si="0"/>
        <v>1.1999999999999997</v>
      </c>
      <c r="H31">
        <v>96</v>
      </c>
      <c r="I31" s="2">
        <f t="shared" si="1"/>
        <v>115.19999999999997</v>
      </c>
    </row>
    <row r="32" spans="1:9" x14ac:dyDescent="0.35">
      <c r="A32">
        <v>131</v>
      </c>
      <c r="B32" t="s">
        <v>12</v>
      </c>
      <c r="C32" t="s">
        <v>21</v>
      </c>
      <c r="D32" s="1">
        <v>45325</v>
      </c>
      <c r="E32" s="2">
        <v>2.2000000000000002</v>
      </c>
      <c r="F32" s="2">
        <v>1</v>
      </c>
      <c r="G32" s="2">
        <f t="shared" si="0"/>
        <v>1.2000000000000002</v>
      </c>
      <c r="H32">
        <v>104</v>
      </c>
      <c r="I32" s="2">
        <f t="shared" si="1"/>
        <v>124.80000000000001</v>
      </c>
    </row>
    <row r="33" spans="1:9" x14ac:dyDescent="0.35">
      <c r="A33">
        <v>132</v>
      </c>
      <c r="B33" t="s">
        <v>14</v>
      </c>
      <c r="C33" t="s">
        <v>22</v>
      </c>
      <c r="D33" s="1">
        <v>45326</v>
      </c>
      <c r="E33" s="2">
        <v>2</v>
      </c>
      <c r="F33" s="2">
        <v>0.9</v>
      </c>
      <c r="G33" s="2">
        <f t="shared" si="0"/>
        <v>1.1000000000000001</v>
      </c>
      <c r="H33">
        <v>99</v>
      </c>
      <c r="I33" s="2">
        <f t="shared" si="1"/>
        <v>108.9</v>
      </c>
    </row>
    <row r="34" spans="1:9" x14ac:dyDescent="0.35">
      <c r="A34">
        <v>133</v>
      </c>
      <c r="B34" t="s">
        <v>16</v>
      </c>
      <c r="C34" t="s">
        <v>9</v>
      </c>
      <c r="D34" s="1">
        <v>45327</v>
      </c>
      <c r="E34" s="2">
        <v>2.7</v>
      </c>
      <c r="F34" s="2">
        <v>1.3</v>
      </c>
      <c r="G34" s="2">
        <f t="shared" ref="G34:G65" si="2">E34-F34</f>
        <v>1.4000000000000001</v>
      </c>
      <c r="H34">
        <v>137</v>
      </c>
      <c r="I34" s="2">
        <f t="shared" si="1"/>
        <v>191.8</v>
      </c>
    </row>
    <row r="35" spans="1:9" x14ac:dyDescent="0.35">
      <c r="A35">
        <v>134</v>
      </c>
      <c r="B35" t="s">
        <v>18</v>
      </c>
      <c r="C35" t="s">
        <v>11</v>
      </c>
      <c r="D35" s="1">
        <v>45328</v>
      </c>
      <c r="E35" s="2">
        <v>3</v>
      </c>
      <c r="F35" s="2">
        <v>1.5</v>
      </c>
      <c r="G35" s="2">
        <f t="shared" si="2"/>
        <v>1.5</v>
      </c>
      <c r="H35">
        <v>82</v>
      </c>
      <c r="I35" s="2">
        <f t="shared" si="1"/>
        <v>123</v>
      </c>
    </row>
    <row r="36" spans="1:9" x14ac:dyDescent="0.35">
      <c r="A36">
        <v>135</v>
      </c>
      <c r="B36" t="s">
        <v>20</v>
      </c>
      <c r="C36" t="s">
        <v>13</v>
      </c>
      <c r="D36" s="1">
        <v>45329</v>
      </c>
      <c r="E36" s="2">
        <v>2.4</v>
      </c>
      <c r="F36" s="2">
        <v>1.1000000000000001</v>
      </c>
      <c r="G36" s="2">
        <f t="shared" si="2"/>
        <v>1.2999999999999998</v>
      </c>
      <c r="H36">
        <v>90</v>
      </c>
      <c r="I36" s="2">
        <f t="shared" si="1"/>
        <v>116.99999999999999</v>
      </c>
    </row>
    <row r="37" spans="1:9" x14ac:dyDescent="0.35">
      <c r="A37">
        <v>136</v>
      </c>
      <c r="B37" t="s">
        <v>8</v>
      </c>
      <c r="C37" t="s">
        <v>15</v>
      </c>
      <c r="D37" s="1">
        <v>45330</v>
      </c>
      <c r="E37" s="2">
        <v>2.5</v>
      </c>
      <c r="F37" s="2">
        <v>1.2</v>
      </c>
      <c r="G37" s="2">
        <f t="shared" si="2"/>
        <v>1.3</v>
      </c>
      <c r="H37">
        <v>114</v>
      </c>
      <c r="I37" s="2">
        <f t="shared" si="1"/>
        <v>148.20000000000002</v>
      </c>
    </row>
    <row r="38" spans="1:9" x14ac:dyDescent="0.35">
      <c r="A38">
        <v>137</v>
      </c>
      <c r="B38" t="s">
        <v>10</v>
      </c>
      <c r="C38" t="s">
        <v>17</v>
      </c>
      <c r="D38" s="1">
        <v>45331</v>
      </c>
      <c r="E38" s="2">
        <v>2.2999999999999998</v>
      </c>
      <c r="F38" s="2">
        <v>1.1000000000000001</v>
      </c>
      <c r="G38" s="2">
        <f t="shared" si="2"/>
        <v>1.1999999999999997</v>
      </c>
      <c r="H38">
        <v>94</v>
      </c>
      <c r="I38" s="2">
        <f t="shared" si="1"/>
        <v>112.79999999999997</v>
      </c>
    </row>
    <row r="39" spans="1:9" x14ac:dyDescent="0.35">
      <c r="A39">
        <v>138</v>
      </c>
      <c r="B39" t="s">
        <v>12</v>
      </c>
      <c r="C39" t="s">
        <v>19</v>
      </c>
      <c r="D39" s="1">
        <v>45332</v>
      </c>
      <c r="E39" s="2">
        <v>2.2000000000000002</v>
      </c>
      <c r="F39" s="2">
        <v>1</v>
      </c>
      <c r="G39" s="2">
        <f t="shared" si="2"/>
        <v>1.2000000000000002</v>
      </c>
      <c r="H39">
        <v>107</v>
      </c>
      <c r="I39" s="2">
        <f t="shared" si="1"/>
        <v>128.4</v>
      </c>
    </row>
    <row r="40" spans="1:9" x14ac:dyDescent="0.35">
      <c r="A40">
        <v>139</v>
      </c>
      <c r="B40" t="s">
        <v>14</v>
      </c>
      <c r="C40" t="s">
        <v>21</v>
      </c>
      <c r="D40" s="1">
        <v>45333</v>
      </c>
      <c r="E40" s="2">
        <v>2</v>
      </c>
      <c r="F40" s="2">
        <v>0.9</v>
      </c>
      <c r="G40" s="2">
        <f t="shared" si="2"/>
        <v>1.1000000000000001</v>
      </c>
      <c r="H40">
        <v>95</v>
      </c>
      <c r="I40" s="2">
        <f t="shared" si="1"/>
        <v>104.50000000000001</v>
      </c>
    </row>
    <row r="41" spans="1:9" x14ac:dyDescent="0.35">
      <c r="A41">
        <v>140</v>
      </c>
      <c r="B41" t="s">
        <v>16</v>
      </c>
      <c r="C41" t="s">
        <v>22</v>
      </c>
      <c r="D41" s="1">
        <v>45334</v>
      </c>
      <c r="E41" s="2">
        <v>2.7</v>
      </c>
      <c r="F41" s="2">
        <v>1.3</v>
      </c>
      <c r="G41" s="2">
        <f t="shared" si="2"/>
        <v>1.4000000000000001</v>
      </c>
      <c r="H41">
        <v>122</v>
      </c>
      <c r="I41" s="2">
        <f t="shared" si="1"/>
        <v>170.8</v>
      </c>
    </row>
    <row r="42" spans="1:9" x14ac:dyDescent="0.35">
      <c r="A42">
        <v>141</v>
      </c>
      <c r="B42" t="s">
        <v>18</v>
      </c>
      <c r="C42" t="s">
        <v>9</v>
      </c>
      <c r="D42" s="1">
        <v>45335</v>
      </c>
      <c r="E42" s="2">
        <v>3.1</v>
      </c>
      <c r="F42" s="2">
        <v>1.5</v>
      </c>
      <c r="G42" s="2">
        <f t="shared" si="2"/>
        <v>1.6</v>
      </c>
      <c r="H42">
        <v>86</v>
      </c>
      <c r="I42" s="2">
        <f t="shared" si="1"/>
        <v>137.6</v>
      </c>
    </row>
    <row r="43" spans="1:9" x14ac:dyDescent="0.35">
      <c r="A43">
        <v>142</v>
      </c>
      <c r="B43" t="s">
        <v>20</v>
      </c>
      <c r="C43" t="s">
        <v>11</v>
      </c>
      <c r="D43" s="1">
        <v>45336</v>
      </c>
      <c r="E43" s="2">
        <v>2.4</v>
      </c>
      <c r="F43" s="2">
        <v>1.1000000000000001</v>
      </c>
      <c r="G43" s="2">
        <f t="shared" si="2"/>
        <v>1.2999999999999998</v>
      </c>
      <c r="H43">
        <v>91</v>
      </c>
      <c r="I43" s="2">
        <f t="shared" si="1"/>
        <v>118.29999999999998</v>
      </c>
    </row>
    <row r="44" spans="1:9" x14ac:dyDescent="0.35">
      <c r="A44">
        <v>143</v>
      </c>
      <c r="B44" t="s">
        <v>8</v>
      </c>
      <c r="C44" t="s">
        <v>13</v>
      </c>
      <c r="D44" s="1">
        <v>45337</v>
      </c>
      <c r="E44" s="2">
        <v>2.5</v>
      </c>
      <c r="F44" s="2">
        <v>1.2</v>
      </c>
      <c r="G44" s="2">
        <f t="shared" si="2"/>
        <v>1.3</v>
      </c>
      <c r="H44">
        <v>111</v>
      </c>
      <c r="I44" s="2">
        <f t="shared" si="1"/>
        <v>144.30000000000001</v>
      </c>
    </row>
    <row r="45" spans="1:9" x14ac:dyDescent="0.35">
      <c r="A45">
        <v>144</v>
      </c>
      <c r="B45" t="s">
        <v>10</v>
      </c>
      <c r="C45" t="s">
        <v>15</v>
      </c>
      <c r="D45" s="1">
        <v>45338</v>
      </c>
      <c r="E45" s="2">
        <v>2.2999999999999998</v>
      </c>
      <c r="F45" s="2">
        <v>1.1000000000000001</v>
      </c>
      <c r="G45" s="2">
        <f t="shared" si="2"/>
        <v>1.1999999999999997</v>
      </c>
      <c r="H45">
        <v>93</v>
      </c>
      <c r="I45" s="2">
        <f t="shared" si="1"/>
        <v>111.59999999999998</v>
      </c>
    </row>
    <row r="46" spans="1:9" x14ac:dyDescent="0.35">
      <c r="A46">
        <v>145</v>
      </c>
      <c r="B46" t="s">
        <v>12</v>
      </c>
      <c r="C46" t="s">
        <v>17</v>
      </c>
      <c r="D46" s="1">
        <v>45339</v>
      </c>
      <c r="E46" s="2">
        <v>2.2000000000000002</v>
      </c>
      <c r="F46" s="2">
        <v>1</v>
      </c>
      <c r="G46" s="2">
        <f t="shared" si="2"/>
        <v>1.2000000000000002</v>
      </c>
      <c r="H46">
        <v>105</v>
      </c>
      <c r="I46" s="2">
        <f t="shared" si="1"/>
        <v>126.00000000000001</v>
      </c>
    </row>
    <row r="47" spans="1:9" x14ac:dyDescent="0.35">
      <c r="A47">
        <v>146</v>
      </c>
      <c r="B47" t="s">
        <v>14</v>
      </c>
      <c r="C47" t="s">
        <v>19</v>
      </c>
      <c r="D47" s="1">
        <v>45340</v>
      </c>
      <c r="E47" s="2">
        <v>2</v>
      </c>
      <c r="F47" s="2">
        <v>0.9</v>
      </c>
      <c r="G47" s="2">
        <f t="shared" si="2"/>
        <v>1.1000000000000001</v>
      </c>
      <c r="H47">
        <v>98</v>
      </c>
      <c r="I47" s="2">
        <f t="shared" si="1"/>
        <v>107.80000000000001</v>
      </c>
    </row>
    <row r="48" spans="1:9" x14ac:dyDescent="0.35">
      <c r="A48">
        <v>147</v>
      </c>
      <c r="B48" t="s">
        <v>16</v>
      </c>
      <c r="C48" t="s">
        <v>21</v>
      </c>
      <c r="D48" s="1">
        <v>45341</v>
      </c>
      <c r="E48" s="2">
        <v>2.7</v>
      </c>
      <c r="F48" s="2">
        <v>1.3</v>
      </c>
      <c r="G48" s="2">
        <f t="shared" si="2"/>
        <v>1.4000000000000001</v>
      </c>
      <c r="H48">
        <v>121</v>
      </c>
      <c r="I48" s="2">
        <f t="shared" si="1"/>
        <v>169.4</v>
      </c>
    </row>
    <row r="49" spans="1:9" x14ac:dyDescent="0.35">
      <c r="A49">
        <v>148</v>
      </c>
      <c r="B49" t="s">
        <v>18</v>
      </c>
      <c r="C49" t="s">
        <v>22</v>
      </c>
      <c r="D49" s="1">
        <v>45342</v>
      </c>
      <c r="E49" s="2">
        <v>3</v>
      </c>
      <c r="F49" s="2">
        <v>1.5</v>
      </c>
      <c r="G49" s="2">
        <f t="shared" si="2"/>
        <v>1.5</v>
      </c>
      <c r="H49">
        <v>87</v>
      </c>
      <c r="I49" s="2">
        <f t="shared" si="1"/>
        <v>130.5</v>
      </c>
    </row>
    <row r="50" spans="1:9" x14ac:dyDescent="0.35">
      <c r="A50">
        <v>149</v>
      </c>
      <c r="B50" t="s">
        <v>20</v>
      </c>
      <c r="C50" t="s">
        <v>9</v>
      </c>
      <c r="D50" s="1">
        <v>45343</v>
      </c>
      <c r="E50" s="2">
        <v>2.4</v>
      </c>
      <c r="F50" s="2">
        <v>1.1000000000000001</v>
      </c>
      <c r="G50" s="2">
        <f t="shared" si="2"/>
        <v>1.2999999999999998</v>
      </c>
      <c r="H50">
        <v>92</v>
      </c>
      <c r="I50" s="2">
        <f t="shared" si="1"/>
        <v>119.59999999999998</v>
      </c>
    </row>
    <row r="51" spans="1:9" x14ac:dyDescent="0.35">
      <c r="A51">
        <v>150</v>
      </c>
      <c r="B51" t="s">
        <v>8</v>
      </c>
      <c r="C51" t="s">
        <v>11</v>
      </c>
      <c r="D51" s="1">
        <v>45344</v>
      </c>
      <c r="E51" s="2">
        <v>2.5</v>
      </c>
      <c r="F51" s="2">
        <v>1.2</v>
      </c>
      <c r="G51" s="2">
        <f t="shared" si="2"/>
        <v>1.3</v>
      </c>
      <c r="H51">
        <v>113</v>
      </c>
      <c r="I51" s="2">
        <f t="shared" si="1"/>
        <v>146.9</v>
      </c>
    </row>
    <row r="59" spans="1:9" x14ac:dyDescent="0.35">
      <c r="B59" s="2"/>
    </row>
  </sheetData>
  <conditionalFormatting sqref="H2:H51">
    <cfRule type="cellIs" dxfId="0" priority="2" operator="lessThan">
      <formula>0</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BC73D-F8CC-4870-8FD8-0BD26FDCACE4}">
  <dimension ref="A3:B6"/>
  <sheetViews>
    <sheetView workbookViewId="0">
      <selection activeCell="A3" sqref="A3"/>
    </sheetView>
  </sheetViews>
  <sheetFormatPr defaultRowHeight="14.5" x14ac:dyDescent="0.35"/>
  <cols>
    <col min="1" max="1" width="12.453125" bestFit="1" customWidth="1"/>
    <col min="2" max="2" width="16.08984375" bestFit="1" customWidth="1"/>
    <col min="3" max="3" width="15.6328125" bestFit="1" customWidth="1"/>
  </cols>
  <sheetData>
    <row r="3" spans="1:2" x14ac:dyDescent="0.35">
      <c r="A3" s="3" t="s">
        <v>33</v>
      </c>
      <c r="B3" t="s">
        <v>35</v>
      </c>
    </row>
    <row r="4" spans="1:2" x14ac:dyDescent="0.35">
      <c r="A4" s="4" t="s">
        <v>37</v>
      </c>
      <c r="B4" s="2">
        <v>3609.7</v>
      </c>
    </row>
    <row r="5" spans="1:2" x14ac:dyDescent="0.35">
      <c r="A5" s="4" t="s">
        <v>38</v>
      </c>
      <c r="B5" s="2">
        <v>2897.8</v>
      </c>
    </row>
    <row r="6" spans="1:2" x14ac:dyDescent="0.35">
      <c r="A6" s="4" t="s">
        <v>34</v>
      </c>
      <c r="B6" s="2">
        <v>6507.5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EAE6C-F9AD-43BC-82C9-E9E221F94D2D}">
  <dimension ref="A1:T61"/>
  <sheetViews>
    <sheetView showGridLines="0" tabSelected="1" workbookViewId="0"/>
  </sheetViews>
  <sheetFormatPr defaultRowHeight="14.5" x14ac:dyDescent="0.35"/>
  <cols>
    <col min="1" max="1" width="12.453125" bestFit="1" customWidth="1"/>
    <col min="2" max="2" width="15.6328125" bestFit="1" customWidth="1"/>
    <col min="4" max="4" width="30.54296875" bestFit="1" customWidth="1"/>
    <col min="5" max="5" width="15.6328125" bestFit="1" customWidth="1"/>
    <col min="8" max="8" width="12.453125" bestFit="1" customWidth="1"/>
    <col min="9" max="9" width="16.08984375" bestFit="1" customWidth="1"/>
    <col min="11" max="13" width="8.7265625" customWidth="1"/>
    <col min="14" max="14" width="10.90625" customWidth="1"/>
  </cols>
  <sheetData>
    <row r="1" spans="1:20" ht="21" x14ac:dyDescent="0.5">
      <c r="A1" s="6" t="s">
        <v>39</v>
      </c>
      <c r="B1" s="5"/>
      <c r="C1" s="5"/>
      <c r="D1" s="5"/>
      <c r="E1" s="5"/>
      <c r="F1" s="5"/>
      <c r="G1" s="5"/>
      <c r="H1" s="5"/>
      <c r="I1" s="5"/>
      <c r="J1" s="5"/>
      <c r="K1" s="5"/>
      <c r="L1" s="5"/>
      <c r="M1" s="5"/>
      <c r="N1" s="5"/>
      <c r="O1" s="5"/>
      <c r="P1" s="5"/>
      <c r="Q1" s="5"/>
      <c r="R1" s="5"/>
      <c r="S1" s="5"/>
      <c r="T1" s="5"/>
    </row>
    <row r="2" spans="1:20" x14ac:dyDescent="0.35">
      <c r="A2" s="5"/>
      <c r="B2" s="5"/>
      <c r="C2" s="5"/>
      <c r="D2" s="5"/>
      <c r="E2" s="5"/>
      <c r="F2" s="5"/>
      <c r="G2" s="5"/>
      <c r="H2" s="5"/>
      <c r="I2" s="5"/>
      <c r="J2" s="5"/>
      <c r="K2" s="5"/>
      <c r="L2" s="5"/>
      <c r="M2" s="5"/>
      <c r="N2" s="5"/>
      <c r="O2" s="5"/>
      <c r="P2" s="5"/>
      <c r="Q2" s="5"/>
      <c r="R2" s="5"/>
      <c r="S2" s="5"/>
      <c r="T2" s="5"/>
    </row>
    <row r="3" spans="1:20" x14ac:dyDescent="0.35">
      <c r="A3" s="5"/>
      <c r="B3" s="5"/>
      <c r="C3" s="5"/>
      <c r="D3" s="5"/>
      <c r="E3" s="5"/>
      <c r="F3" s="5"/>
      <c r="G3" s="5"/>
      <c r="H3" s="5"/>
      <c r="I3" s="5"/>
      <c r="J3" s="5"/>
      <c r="K3" s="5"/>
      <c r="L3" s="5"/>
      <c r="M3" s="5"/>
      <c r="N3" s="5"/>
      <c r="O3" s="5"/>
      <c r="P3" s="5"/>
      <c r="Q3" s="5"/>
      <c r="R3" s="5"/>
      <c r="S3" s="5"/>
      <c r="T3" s="5"/>
    </row>
    <row r="4" spans="1:20" x14ac:dyDescent="0.35">
      <c r="A4" s="5"/>
      <c r="B4" s="5"/>
      <c r="C4" s="5"/>
      <c r="D4" s="5"/>
      <c r="E4" s="5"/>
      <c r="F4" s="5"/>
      <c r="G4" s="5"/>
      <c r="H4" s="5"/>
      <c r="I4" s="5"/>
      <c r="J4" s="5"/>
      <c r="K4" s="5"/>
      <c r="L4" s="5"/>
      <c r="M4" s="5"/>
      <c r="N4" s="5"/>
      <c r="O4" s="5"/>
      <c r="P4" s="5"/>
      <c r="Q4" s="5"/>
      <c r="R4" s="5"/>
      <c r="S4" s="5"/>
      <c r="T4" s="5"/>
    </row>
    <row r="5" spans="1:20" x14ac:dyDescent="0.35">
      <c r="A5" s="5"/>
      <c r="B5" s="5"/>
      <c r="C5" s="5"/>
      <c r="D5" s="5"/>
      <c r="E5" s="5"/>
      <c r="F5" s="5"/>
      <c r="G5" s="5"/>
      <c r="H5" s="5"/>
      <c r="I5" s="5"/>
      <c r="J5" s="5"/>
      <c r="K5" s="5"/>
      <c r="L5" s="5"/>
      <c r="M5" s="5"/>
      <c r="N5" s="5"/>
      <c r="O5" s="5"/>
      <c r="P5" s="5"/>
      <c r="Q5" s="5"/>
      <c r="R5" s="5"/>
      <c r="S5" s="5"/>
      <c r="T5" s="5"/>
    </row>
    <row r="6" spans="1:20" x14ac:dyDescent="0.35">
      <c r="A6" s="5"/>
      <c r="B6" s="5"/>
      <c r="C6" s="5"/>
      <c r="D6" s="5"/>
      <c r="E6" s="5"/>
      <c r="F6" s="5"/>
      <c r="G6" s="5"/>
      <c r="H6" s="5"/>
      <c r="I6" s="5"/>
      <c r="J6" s="5"/>
      <c r="K6" s="5"/>
      <c r="L6" s="5"/>
      <c r="M6" s="5"/>
      <c r="N6" s="5"/>
      <c r="O6" s="5"/>
      <c r="P6" s="5"/>
      <c r="Q6" s="5"/>
      <c r="R6" s="5"/>
      <c r="S6" s="5"/>
      <c r="T6" s="5"/>
    </row>
    <row r="7" spans="1:20" x14ac:dyDescent="0.35">
      <c r="A7" s="5"/>
      <c r="B7" s="5"/>
      <c r="C7" s="5"/>
      <c r="D7" s="5"/>
      <c r="E7" s="5"/>
      <c r="F7" s="5"/>
      <c r="G7" s="5"/>
      <c r="H7" s="5"/>
      <c r="I7" s="5"/>
      <c r="J7" s="5"/>
      <c r="K7" s="5"/>
      <c r="L7" s="5"/>
      <c r="M7" s="5"/>
      <c r="N7" s="5"/>
      <c r="O7" s="5"/>
      <c r="P7" s="5"/>
      <c r="Q7" s="5"/>
      <c r="R7" s="5"/>
      <c r="S7" s="5"/>
      <c r="T7" s="5"/>
    </row>
    <row r="8" spans="1:20" x14ac:dyDescent="0.35">
      <c r="A8" s="5"/>
      <c r="B8" s="5"/>
      <c r="C8" s="5"/>
      <c r="D8" s="5"/>
      <c r="E8" s="5"/>
      <c r="F8" s="5"/>
      <c r="G8" s="5"/>
      <c r="H8" s="5"/>
      <c r="I8" s="5"/>
      <c r="J8" s="5"/>
      <c r="K8" s="5"/>
      <c r="L8" s="5"/>
      <c r="M8" s="5"/>
      <c r="N8" s="5"/>
      <c r="O8" s="5"/>
      <c r="P8" s="5"/>
      <c r="Q8" s="5"/>
      <c r="R8" s="5"/>
      <c r="S8" s="5"/>
      <c r="T8" s="5"/>
    </row>
    <row r="9" spans="1:20" x14ac:dyDescent="0.35">
      <c r="A9" s="5"/>
      <c r="B9" s="5"/>
      <c r="C9" s="5"/>
      <c r="D9" s="5"/>
      <c r="E9" s="5"/>
      <c r="F9" s="5"/>
      <c r="G9" s="5"/>
      <c r="H9" s="5"/>
      <c r="I9" s="5"/>
      <c r="J9" s="5"/>
      <c r="K9" s="5"/>
      <c r="L9" s="5"/>
      <c r="M9" s="5"/>
      <c r="N9" s="5"/>
      <c r="O9" s="5"/>
      <c r="P9" s="5"/>
      <c r="Q9" s="5"/>
      <c r="R9" s="5"/>
      <c r="S9" s="5"/>
      <c r="T9" s="5"/>
    </row>
    <row r="10" spans="1:20" x14ac:dyDescent="0.35">
      <c r="A10" s="5"/>
      <c r="B10" s="5"/>
      <c r="C10" s="5"/>
      <c r="D10" s="5"/>
      <c r="E10" s="5"/>
      <c r="F10" s="5"/>
      <c r="G10" s="5"/>
      <c r="H10" s="5"/>
      <c r="I10" s="5"/>
      <c r="J10" s="5"/>
      <c r="K10" s="5"/>
      <c r="L10" s="5"/>
      <c r="M10" s="5"/>
      <c r="N10" s="5"/>
      <c r="O10" s="5"/>
      <c r="P10" s="5"/>
      <c r="Q10" s="5"/>
      <c r="R10" s="5"/>
      <c r="S10" s="5"/>
      <c r="T10" s="5"/>
    </row>
    <row r="11" spans="1:20" x14ac:dyDescent="0.35">
      <c r="A11" s="5"/>
      <c r="B11" s="5"/>
      <c r="C11" s="5"/>
      <c r="D11" s="5"/>
      <c r="E11" s="5"/>
      <c r="F11" s="5"/>
      <c r="G11" s="5"/>
      <c r="H11" s="5"/>
      <c r="I11" s="5"/>
      <c r="J11" s="5"/>
      <c r="K11" s="5"/>
      <c r="L11" s="5"/>
      <c r="M11" s="5"/>
      <c r="N11" s="5"/>
      <c r="O11" s="5"/>
      <c r="P11" s="5"/>
      <c r="Q11" s="5"/>
      <c r="R11" s="5"/>
      <c r="S11" s="5"/>
      <c r="T11" s="5"/>
    </row>
    <row r="12" spans="1:20" x14ac:dyDescent="0.35">
      <c r="A12" s="5"/>
      <c r="B12" s="5"/>
      <c r="C12" s="5"/>
      <c r="D12" s="5"/>
      <c r="E12" s="5"/>
      <c r="F12" s="5"/>
      <c r="G12" s="5"/>
      <c r="H12" s="5"/>
      <c r="I12" s="5"/>
      <c r="J12" s="5"/>
      <c r="K12" s="5"/>
      <c r="L12" s="5"/>
      <c r="M12" s="5"/>
      <c r="N12" s="5"/>
      <c r="O12" s="5"/>
      <c r="P12" s="5"/>
      <c r="Q12" s="5"/>
      <c r="R12" s="5"/>
      <c r="S12" s="5"/>
      <c r="T12" s="5"/>
    </row>
    <row r="13" spans="1:20" x14ac:dyDescent="0.35">
      <c r="A13" s="5"/>
      <c r="B13" s="5"/>
      <c r="C13" s="5"/>
      <c r="D13" s="5"/>
      <c r="E13" s="5"/>
      <c r="F13" s="5"/>
      <c r="G13" s="5"/>
      <c r="H13" s="5"/>
      <c r="I13" s="5"/>
      <c r="J13" s="5"/>
      <c r="K13" s="5"/>
      <c r="L13" s="5"/>
      <c r="M13" s="5"/>
      <c r="N13" s="5"/>
      <c r="O13" s="5"/>
      <c r="P13" s="5"/>
      <c r="Q13" s="5"/>
      <c r="R13" s="5"/>
      <c r="S13" s="5"/>
      <c r="T13" s="5"/>
    </row>
    <row r="14" spans="1:20" x14ac:dyDescent="0.35">
      <c r="A14" s="5"/>
      <c r="B14" s="5"/>
      <c r="C14" s="5"/>
      <c r="D14" s="5"/>
      <c r="E14" s="5"/>
      <c r="F14" s="5"/>
      <c r="G14" s="5"/>
      <c r="H14" s="5"/>
      <c r="I14" s="5"/>
      <c r="J14" s="5"/>
      <c r="K14" s="5"/>
      <c r="L14" s="5"/>
      <c r="M14" s="5"/>
      <c r="N14" s="5"/>
      <c r="O14" s="5"/>
      <c r="P14" s="5"/>
      <c r="Q14" s="5"/>
      <c r="R14" s="5"/>
      <c r="S14" s="5"/>
      <c r="T14" s="5"/>
    </row>
    <row r="15" spans="1:20" x14ac:dyDescent="0.35">
      <c r="A15" s="5"/>
      <c r="B15" s="5"/>
      <c r="C15" s="5"/>
      <c r="D15" s="5"/>
      <c r="E15" s="5"/>
      <c r="F15" s="5"/>
      <c r="G15" s="5"/>
      <c r="H15" s="5"/>
      <c r="I15" s="5"/>
      <c r="J15" s="5"/>
      <c r="K15" s="5"/>
      <c r="L15" s="5"/>
      <c r="M15" s="5"/>
      <c r="N15" s="5"/>
      <c r="O15" s="5"/>
      <c r="P15" s="5"/>
      <c r="Q15" s="5"/>
      <c r="R15" s="5"/>
      <c r="S15" s="5"/>
      <c r="T15" s="5"/>
    </row>
    <row r="16" spans="1:20" x14ac:dyDescent="0.35">
      <c r="A16" s="5"/>
      <c r="B16" s="5"/>
      <c r="C16" s="5"/>
      <c r="D16" s="5"/>
      <c r="E16" s="5"/>
      <c r="F16" s="5"/>
      <c r="G16" s="5"/>
      <c r="H16" s="5"/>
      <c r="I16" s="5"/>
      <c r="J16" s="5"/>
      <c r="K16" s="5"/>
      <c r="L16" s="5"/>
      <c r="M16" s="5"/>
      <c r="N16" s="5"/>
      <c r="O16" s="5"/>
      <c r="P16" s="5"/>
      <c r="Q16" s="5"/>
      <c r="R16" s="5"/>
      <c r="S16" s="5"/>
      <c r="T16" s="5"/>
    </row>
    <row r="17" spans="1:20" x14ac:dyDescent="0.35">
      <c r="A17" s="5"/>
      <c r="B17" s="5"/>
      <c r="C17" s="5"/>
      <c r="D17" s="5"/>
      <c r="E17" s="5"/>
      <c r="F17" s="5"/>
      <c r="G17" s="5"/>
      <c r="H17" s="5"/>
      <c r="I17" s="5"/>
      <c r="J17" s="5"/>
      <c r="K17" s="5"/>
      <c r="L17" s="5"/>
      <c r="M17" s="5"/>
      <c r="N17" s="5"/>
      <c r="O17" s="5"/>
      <c r="P17" s="5"/>
      <c r="Q17" s="5"/>
      <c r="R17" s="5"/>
      <c r="S17" s="5"/>
      <c r="T17" s="5"/>
    </row>
    <row r="18" spans="1:20" x14ac:dyDescent="0.35">
      <c r="A18" s="5"/>
      <c r="B18" s="5"/>
      <c r="C18" s="5"/>
      <c r="D18" s="5"/>
      <c r="E18" s="5"/>
      <c r="F18" s="5"/>
      <c r="G18" s="5"/>
      <c r="H18" s="5"/>
      <c r="I18" s="5"/>
      <c r="J18" s="5"/>
      <c r="K18" s="5"/>
      <c r="L18" s="5"/>
      <c r="M18" s="5"/>
      <c r="N18" s="5"/>
      <c r="O18" s="5"/>
      <c r="P18" s="5"/>
      <c r="Q18" s="5"/>
      <c r="R18" s="5"/>
      <c r="S18" s="5"/>
      <c r="T18" s="5"/>
    </row>
    <row r="19" spans="1:20" x14ac:dyDescent="0.35">
      <c r="A19" s="5"/>
      <c r="B19" s="5"/>
      <c r="C19" s="5"/>
      <c r="D19" s="5"/>
      <c r="E19" s="5"/>
      <c r="F19" s="5"/>
      <c r="G19" s="5"/>
      <c r="H19" s="5"/>
      <c r="I19" s="5"/>
      <c r="J19" s="5"/>
      <c r="K19" s="5"/>
      <c r="L19" s="5"/>
      <c r="M19" s="5"/>
      <c r="N19" s="5"/>
      <c r="O19" s="5"/>
      <c r="P19" s="5"/>
      <c r="Q19" s="5"/>
      <c r="R19" s="5"/>
      <c r="S19" s="5"/>
      <c r="T19" s="5"/>
    </row>
    <row r="20" spans="1:20" x14ac:dyDescent="0.35">
      <c r="A20" s="5"/>
      <c r="B20" s="5"/>
      <c r="C20" s="5"/>
      <c r="D20" s="5"/>
      <c r="E20" s="5"/>
      <c r="F20" s="5"/>
      <c r="G20" s="5"/>
      <c r="H20" s="5"/>
      <c r="I20" s="5"/>
      <c r="J20" s="5"/>
      <c r="K20" s="5"/>
      <c r="L20" s="5"/>
      <c r="M20" s="5"/>
      <c r="N20" s="5"/>
      <c r="O20" s="5"/>
      <c r="P20" s="5"/>
      <c r="Q20" s="5"/>
      <c r="R20" s="5"/>
      <c r="S20" s="5"/>
      <c r="T20" s="5"/>
    </row>
    <row r="21" spans="1:20" x14ac:dyDescent="0.35">
      <c r="A21" s="5"/>
      <c r="B21" s="5"/>
      <c r="C21" s="5"/>
      <c r="D21" s="5"/>
      <c r="E21" s="5"/>
      <c r="F21" s="5"/>
      <c r="G21" s="5"/>
      <c r="H21" s="5"/>
      <c r="I21" s="5"/>
      <c r="J21" s="5"/>
      <c r="K21" s="5"/>
      <c r="L21" s="5"/>
      <c r="M21" s="5"/>
      <c r="N21" s="5"/>
      <c r="O21" s="5"/>
      <c r="P21" s="5"/>
      <c r="Q21" s="5"/>
      <c r="R21" s="5"/>
      <c r="S21" s="5"/>
      <c r="T21" s="5"/>
    </row>
    <row r="22" spans="1:20" x14ac:dyDescent="0.35">
      <c r="A22" s="5"/>
      <c r="B22" s="5"/>
      <c r="C22" s="5"/>
      <c r="D22" s="5"/>
      <c r="E22" s="5"/>
      <c r="F22" s="5"/>
      <c r="G22" s="5"/>
      <c r="H22" s="5"/>
      <c r="I22" s="5"/>
      <c r="J22" s="5"/>
      <c r="K22" s="5"/>
      <c r="L22" s="5"/>
      <c r="M22" s="5"/>
      <c r="N22" s="5"/>
      <c r="O22" s="5"/>
      <c r="P22" s="5"/>
      <c r="Q22" s="5"/>
      <c r="R22" s="5"/>
      <c r="S22" s="5"/>
      <c r="T22" s="5"/>
    </row>
    <row r="23" spans="1:20" x14ac:dyDescent="0.35">
      <c r="A23" s="5"/>
      <c r="B23" s="5"/>
      <c r="C23" s="5"/>
      <c r="D23" s="5"/>
      <c r="E23" s="5"/>
      <c r="F23" s="5"/>
      <c r="G23" s="5"/>
      <c r="H23" s="5"/>
      <c r="I23" s="5"/>
      <c r="J23" s="5"/>
      <c r="K23" s="5"/>
      <c r="L23" s="5"/>
      <c r="M23" s="5"/>
      <c r="N23" s="5"/>
      <c r="O23" s="5"/>
      <c r="P23" s="5"/>
      <c r="Q23" s="5"/>
      <c r="R23" s="5"/>
      <c r="S23" s="5"/>
      <c r="T23" s="5"/>
    </row>
    <row r="24" spans="1:20" x14ac:dyDescent="0.35">
      <c r="A24" s="5"/>
      <c r="B24" s="5"/>
      <c r="C24" s="5"/>
      <c r="D24" s="5"/>
      <c r="E24" s="5"/>
      <c r="F24" s="5"/>
      <c r="G24" s="5"/>
      <c r="H24" s="5"/>
      <c r="I24" s="5"/>
      <c r="J24" s="5"/>
      <c r="K24" s="5"/>
      <c r="L24" s="5"/>
      <c r="M24" s="5"/>
      <c r="N24" s="5"/>
      <c r="O24" s="5"/>
      <c r="P24" s="5"/>
      <c r="Q24" s="5"/>
      <c r="R24" s="5"/>
      <c r="S24" s="5"/>
      <c r="T24" s="5"/>
    </row>
    <row r="25" spans="1:20" x14ac:dyDescent="0.35">
      <c r="A25" s="5"/>
      <c r="B25" s="5"/>
      <c r="C25" s="5"/>
      <c r="D25" s="5"/>
      <c r="E25" s="5"/>
      <c r="F25" s="5"/>
      <c r="G25" s="5"/>
      <c r="H25" s="5"/>
      <c r="I25" s="5"/>
      <c r="J25" s="5"/>
      <c r="K25" s="5"/>
      <c r="L25" s="5"/>
      <c r="M25" s="5"/>
      <c r="N25" s="5"/>
      <c r="O25" s="5"/>
      <c r="P25" s="5"/>
      <c r="Q25" s="5"/>
      <c r="R25" s="5"/>
      <c r="S25" s="5"/>
      <c r="T25" s="5"/>
    </row>
    <row r="26" spans="1:20" x14ac:dyDescent="0.35">
      <c r="A26" s="5"/>
      <c r="B26" s="5"/>
      <c r="C26" s="5"/>
      <c r="D26" s="5"/>
      <c r="E26" s="5"/>
      <c r="F26" s="5"/>
      <c r="G26" s="5"/>
      <c r="H26" s="5"/>
      <c r="I26" s="5"/>
      <c r="J26" s="5"/>
      <c r="K26" s="5"/>
      <c r="L26" s="5"/>
      <c r="M26" s="5"/>
      <c r="N26" s="5"/>
      <c r="O26" s="5"/>
      <c r="P26" s="5"/>
      <c r="Q26" s="5"/>
      <c r="R26" s="5"/>
      <c r="S26" s="5"/>
      <c r="T26" s="5"/>
    </row>
    <row r="27" spans="1:20" x14ac:dyDescent="0.35">
      <c r="A27" s="5"/>
      <c r="B27" s="5"/>
      <c r="C27" s="5"/>
      <c r="D27" s="5"/>
      <c r="E27" s="5"/>
      <c r="F27" s="5"/>
      <c r="G27" s="5"/>
      <c r="H27" s="5"/>
      <c r="I27" s="5"/>
      <c r="J27" s="5"/>
      <c r="K27" s="5"/>
      <c r="L27" s="5"/>
      <c r="M27" s="5"/>
      <c r="N27" s="5"/>
      <c r="O27" s="5"/>
      <c r="P27" s="5"/>
      <c r="Q27" s="5"/>
      <c r="R27" s="5"/>
      <c r="S27" s="5"/>
      <c r="T27" s="5"/>
    </row>
    <row r="28" spans="1:20" x14ac:dyDescent="0.35">
      <c r="A28" s="5"/>
      <c r="B28" s="5"/>
      <c r="C28" s="5"/>
      <c r="D28" s="5"/>
      <c r="E28" s="5"/>
      <c r="F28" s="5"/>
      <c r="G28" s="5"/>
      <c r="H28" s="5"/>
      <c r="I28" s="5"/>
      <c r="J28" s="5"/>
      <c r="K28" s="5"/>
      <c r="L28" s="5"/>
      <c r="M28" s="5"/>
      <c r="N28" s="5"/>
      <c r="O28" s="5"/>
      <c r="P28" s="5"/>
      <c r="Q28" s="5"/>
      <c r="R28" s="5"/>
      <c r="S28" s="5"/>
      <c r="T28" s="5"/>
    </row>
    <row r="29" spans="1:20" x14ac:dyDescent="0.35">
      <c r="A29" s="5"/>
      <c r="B29" s="5"/>
      <c r="C29" s="5"/>
      <c r="D29" s="5"/>
      <c r="E29" s="5"/>
      <c r="F29" s="5"/>
      <c r="G29" s="5"/>
      <c r="H29" s="5"/>
      <c r="I29" s="5"/>
      <c r="J29" s="5"/>
      <c r="K29" s="5"/>
      <c r="L29" s="5"/>
      <c r="M29" s="5"/>
      <c r="N29" s="5"/>
      <c r="O29" s="5"/>
      <c r="P29" s="5"/>
      <c r="Q29" s="5"/>
      <c r="R29" s="5"/>
      <c r="S29" s="5"/>
      <c r="T29" s="5"/>
    </row>
    <row r="30" spans="1:20" x14ac:dyDescent="0.35">
      <c r="A30" s="5"/>
      <c r="B30" s="5"/>
      <c r="C30" s="5"/>
      <c r="D30" s="5"/>
      <c r="E30" s="5"/>
      <c r="F30" s="5"/>
      <c r="G30" s="5"/>
      <c r="H30" s="5"/>
      <c r="I30" s="5"/>
      <c r="J30" s="5"/>
      <c r="K30" s="5"/>
      <c r="L30" s="5"/>
      <c r="M30" s="5"/>
      <c r="N30" s="5"/>
      <c r="O30" s="5"/>
      <c r="P30" s="5"/>
      <c r="Q30" s="5"/>
      <c r="R30" s="5"/>
      <c r="S30" s="5"/>
      <c r="T30" s="5"/>
    </row>
    <row r="31" spans="1:20" x14ac:dyDescent="0.35">
      <c r="A31" s="5"/>
      <c r="B31" s="5"/>
      <c r="C31" s="5"/>
      <c r="D31" s="5"/>
      <c r="E31" s="5"/>
      <c r="F31" s="5"/>
      <c r="G31" s="5"/>
      <c r="H31" s="5"/>
      <c r="I31" s="5"/>
      <c r="J31" s="5"/>
      <c r="K31" s="5"/>
      <c r="L31" s="5"/>
      <c r="M31" s="5"/>
      <c r="N31" s="5"/>
      <c r="O31" s="5"/>
      <c r="P31" s="5"/>
      <c r="Q31" s="5"/>
      <c r="R31" s="5"/>
      <c r="S31" s="5"/>
      <c r="T31" s="5"/>
    </row>
    <row r="32" spans="1:20" x14ac:dyDescent="0.35">
      <c r="A32" s="5"/>
      <c r="B32" s="5"/>
      <c r="C32" s="5"/>
      <c r="D32" s="5"/>
      <c r="E32" s="5"/>
      <c r="F32" s="5"/>
      <c r="G32" s="5"/>
      <c r="H32" s="5"/>
      <c r="I32" s="5"/>
      <c r="J32" s="5"/>
      <c r="K32" s="5"/>
      <c r="L32" s="5"/>
      <c r="M32" s="5"/>
      <c r="N32" s="5"/>
      <c r="O32" s="5"/>
      <c r="P32" s="5"/>
      <c r="Q32" s="5"/>
      <c r="R32" s="5"/>
      <c r="S32" s="5"/>
      <c r="T32" s="5"/>
    </row>
    <row r="33" spans="1:20" x14ac:dyDescent="0.35">
      <c r="A33" s="5"/>
      <c r="B33" s="5"/>
      <c r="C33" s="5"/>
      <c r="D33" s="5"/>
      <c r="E33" s="5"/>
      <c r="F33" s="5"/>
      <c r="G33" s="5"/>
      <c r="H33" s="5"/>
      <c r="I33" s="5"/>
      <c r="J33" s="5"/>
      <c r="K33" s="5"/>
      <c r="L33" s="5"/>
      <c r="M33" s="5"/>
      <c r="N33" s="5"/>
      <c r="O33" s="5"/>
      <c r="P33" s="5"/>
      <c r="Q33" s="5"/>
      <c r="R33" s="5"/>
      <c r="S33" s="5"/>
      <c r="T33" s="5"/>
    </row>
    <row r="34" spans="1:20" x14ac:dyDescent="0.35">
      <c r="A34" s="5"/>
      <c r="B34" s="5"/>
      <c r="C34" s="5"/>
      <c r="D34" s="5"/>
      <c r="E34" s="5"/>
      <c r="F34" s="5"/>
      <c r="G34" s="5"/>
      <c r="H34" s="5"/>
      <c r="I34" s="5"/>
      <c r="J34" s="5"/>
      <c r="K34" s="5"/>
      <c r="L34" s="5"/>
      <c r="M34" s="5"/>
      <c r="N34" s="5"/>
      <c r="O34" s="5"/>
      <c r="P34" s="5"/>
      <c r="Q34" s="5"/>
      <c r="R34" s="5"/>
      <c r="S34" s="5"/>
      <c r="T34" s="5"/>
    </row>
    <row r="35" spans="1:20" x14ac:dyDescent="0.35">
      <c r="A35" s="5"/>
      <c r="B35" s="5"/>
      <c r="C35" s="5"/>
      <c r="D35" s="5"/>
      <c r="E35" s="5"/>
      <c r="F35" s="5"/>
      <c r="G35" s="5"/>
      <c r="H35" s="5"/>
      <c r="I35" s="5"/>
      <c r="J35" s="5"/>
      <c r="K35" s="5"/>
      <c r="L35" s="5"/>
      <c r="M35" s="5"/>
      <c r="N35" s="5"/>
      <c r="O35" s="5"/>
      <c r="P35" s="5"/>
      <c r="Q35" s="5"/>
      <c r="R35" s="5"/>
      <c r="S35" s="5"/>
      <c r="T35" s="5"/>
    </row>
    <row r="36" spans="1:20" x14ac:dyDescent="0.35">
      <c r="A36" s="5"/>
      <c r="B36" s="5"/>
      <c r="C36" s="5"/>
      <c r="D36" s="5"/>
      <c r="E36" s="5"/>
      <c r="F36" s="5"/>
      <c r="G36" s="5"/>
      <c r="H36" s="5"/>
      <c r="I36" s="5"/>
      <c r="J36" s="5"/>
      <c r="K36" s="5"/>
      <c r="L36" s="5"/>
      <c r="M36" s="5"/>
      <c r="N36" s="5"/>
      <c r="O36" s="5"/>
      <c r="P36" s="5"/>
      <c r="Q36" s="5"/>
      <c r="R36" s="5"/>
      <c r="S36" s="5"/>
      <c r="T36" s="5"/>
    </row>
    <row r="37" spans="1:20" x14ac:dyDescent="0.35">
      <c r="A37" s="5"/>
      <c r="B37" s="5"/>
      <c r="C37" s="5"/>
      <c r="D37" s="5"/>
      <c r="E37" s="5"/>
      <c r="F37" s="5"/>
      <c r="G37" s="5"/>
      <c r="H37" s="5"/>
      <c r="I37" s="5"/>
      <c r="J37" s="5"/>
      <c r="K37" s="5"/>
      <c r="L37" s="5"/>
      <c r="M37" s="5"/>
      <c r="N37" s="5"/>
      <c r="O37" s="5"/>
      <c r="P37" s="5"/>
      <c r="Q37" s="5"/>
      <c r="R37" s="5"/>
      <c r="S37" s="5"/>
      <c r="T37" s="5"/>
    </row>
    <row r="38" spans="1:20" x14ac:dyDescent="0.35">
      <c r="A38" s="5"/>
      <c r="B38" s="5"/>
      <c r="C38" s="5"/>
      <c r="D38" s="5"/>
      <c r="E38" s="5"/>
      <c r="F38" s="5"/>
      <c r="G38" s="5"/>
      <c r="H38" s="5"/>
      <c r="I38" s="5"/>
      <c r="J38" s="5"/>
      <c r="K38" s="5"/>
      <c r="L38" s="5"/>
      <c r="M38" s="5"/>
      <c r="N38" s="5"/>
      <c r="O38" s="5"/>
      <c r="P38" s="5"/>
      <c r="Q38" s="5"/>
      <c r="R38" s="5"/>
      <c r="S38" s="5"/>
      <c r="T38" s="5"/>
    </row>
    <row r="41" spans="1:20" x14ac:dyDescent="0.35">
      <c r="A41" s="3" t="s">
        <v>33</v>
      </c>
      <c r="B41" t="s">
        <v>35</v>
      </c>
      <c r="D41" s="3" t="s">
        <v>33</v>
      </c>
      <c r="E41" t="s">
        <v>35</v>
      </c>
      <c r="H41" s="3" t="s">
        <v>33</v>
      </c>
      <c r="I41" t="s">
        <v>35</v>
      </c>
    </row>
    <row r="42" spans="1:20" x14ac:dyDescent="0.35">
      <c r="A42" s="4" t="s">
        <v>15</v>
      </c>
      <c r="B42" s="2">
        <v>817.60000000000014</v>
      </c>
      <c r="D42" s="4" t="s">
        <v>8</v>
      </c>
      <c r="E42" s="2">
        <v>1081.6000000000001</v>
      </c>
      <c r="H42" s="4" t="s">
        <v>37</v>
      </c>
      <c r="I42" s="2">
        <v>3609.7</v>
      </c>
    </row>
    <row r="43" spans="1:20" x14ac:dyDescent="0.35">
      <c r="A43" s="4" t="s">
        <v>11</v>
      </c>
      <c r="B43" s="2">
        <v>906.5</v>
      </c>
      <c r="D43" s="4" t="s">
        <v>16</v>
      </c>
      <c r="E43" s="2">
        <v>1252.2</v>
      </c>
      <c r="H43" s="4" t="s">
        <v>38</v>
      </c>
      <c r="I43" s="2">
        <v>2897.8</v>
      </c>
    </row>
    <row r="44" spans="1:20" x14ac:dyDescent="0.35">
      <c r="A44" s="4" t="s">
        <v>19</v>
      </c>
      <c r="B44" s="2">
        <v>729.8</v>
      </c>
      <c r="D44" s="4" t="s">
        <v>20</v>
      </c>
      <c r="E44" s="2">
        <v>830.69999999999993</v>
      </c>
      <c r="H44" s="4" t="s">
        <v>34</v>
      </c>
      <c r="I44" s="2">
        <v>6507.5</v>
      </c>
    </row>
    <row r="45" spans="1:20" x14ac:dyDescent="0.35">
      <c r="A45" s="4" t="s">
        <v>17</v>
      </c>
      <c r="B45" s="2">
        <v>822.9</v>
      </c>
      <c r="D45" s="4" t="s">
        <v>10</v>
      </c>
      <c r="E45" s="2">
        <v>797.69999999999982</v>
      </c>
    </row>
    <row r="46" spans="1:20" x14ac:dyDescent="0.35">
      <c r="A46" s="4" t="s">
        <v>21</v>
      </c>
      <c r="B46" s="2">
        <v>676.4</v>
      </c>
      <c r="D46" s="4" t="s">
        <v>12</v>
      </c>
      <c r="E46" s="2">
        <v>879.4</v>
      </c>
    </row>
    <row r="47" spans="1:20" x14ac:dyDescent="0.35">
      <c r="A47" s="4" t="s">
        <v>22</v>
      </c>
      <c r="B47" s="2">
        <v>816.5</v>
      </c>
      <c r="D47" s="4" t="s">
        <v>14</v>
      </c>
      <c r="E47" s="2">
        <v>737</v>
      </c>
    </row>
    <row r="48" spans="1:20" x14ac:dyDescent="0.35">
      <c r="A48" s="4" t="s">
        <v>13</v>
      </c>
      <c r="B48" s="2">
        <v>792.60000000000014</v>
      </c>
      <c r="D48" s="4" t="s">
        <v>18</v>
      </c>
      <c r="E48" s="2">
        <v>928.9</v>
      </c>
    </row>
    <row r="49" spans="1:5" x14ac:dyDescent="0.35">
      <c r="A49" s="4" t="s">
        <v>9</v>
      </c>
      <c r="B49" s="2">
        <v>945.2</v>
      </c>
      <c r="D49" s="4" t="s">
        <v>34</v>
      </c>
      <c r="E49" s="2">
        <v>6507.4999999999991</v>
      </c>
    </row>
    <row r="50" spans="1:5" x14ac:dyDescent="0.35">
      <c r="A50" s="4" t="s">
        <v>34</v>
      </c>
      <c r="B50" s="2">
        <v>6507.5000000000009</v>
      </c>
    </row>
    <row r="52" spans="1:5" x14ac:dyDescent="0.35">
      <c r="A52" s="3" t="s">
        <v>33</v>
      </c>
      <c r="B52" t="s">
        <v>36</v>
      </c>
      <c r="D52" s="3" t="s">
        <v>33</v>
      </c>
      <c r="E52" t="s">
        <v>36</v>
      </c>
    </row>
    <row r="53" spans="1:5" x14ac:dyDescent="0.35">
      <c r="A53" s="4" t="s">
        <v>15</v>
      </c>
      <c r="B53" s="7">
        <v>627</v>
      </c>
      <c r="D53" s="4" t="s">
        <v>8</v>
      </c>
      <c r="E53" s="7">
        <v>832</v>
      </c>
    </row>
    <row r="54" spans="1:5" x14ac:dyDescent="0.35">
      <c r="A54" s="4" t="s">
        <v>11</v>
      </c>
      <c r="B54" s="7">
        <v>706</v>
      </c>
      <c r="D54" s="4" t="s">
        <v>16</v>
      </c>
      <c r="E54" s="7">
        <v>904</v>
      </c>
    </row>
    <row r="55" spans="1:5" x14ac:dyDescent="0.35">
      <c r="A55" s="4" t="s">
        <v>19</v>
      </c>
      <c r="B55" s="7">
        <v>579</v>
      </c>
      <c r="D55" s="4" t="s">
        <v>20</v>
      </c>
      <c r="E55" s="7">
        <v>639</v>
      </c>
    </row>
    <row r="56" spans="1:5" x14ac:dyDescent="0.35">
      <c r="A56" s="4" t="s">
        <v>17</v>
      </c>
      <c r="B56" s="7">
        <v>618</v>
      </c>
      <c r="D56" s="4" t="s">
        <v>10</v>
      </c>
      <c r="E56" s="7">
        <v>672</v>
      </c>
    </row>
    <row r="57" spans="1:5" x14ac:dyDescent="0.35">
      <c r="A57" s="4" t="s">
        <v>21</v>
      </c>
      <c r="B57" s="7">
        <v>547</v>
      </c>
      <c r="D57" s="4" t="s">
        <v>12</v>
      </c>
      <c r="E57" s="7">
        <v>741</v>
      </c>
    </row>
    <row r="58" spans="1:5" x14ac:dyDescent="0.35">
      <c r="A58" s="4" t="s">
        <v>22</v>
      </c>
      <c r="B58" s="7">
        <v>637</v>
      </c>
      <c r="D58" s="4" t="s">
        <v>14</v>
      </c>
      <c r="E58" s="7">
        <v>688</v>
      </c>
    </row>
    <row r="59" spans="1:5" x14ac:dyDescent="0.35">
      <c r="A59" s="4" t="s">
        <v>13</v>
      </c>
      <c r="B59" s="7">
        <v>629</v>
      </c>
      <c r="D59" s="4" t="s">
        <v>18</v>
      </c>
      <c r="E59" s="7">
        <v>602</v>
      </c>
    </row>
    <row r="60" spans="1:5" x14ac:dyDescent="0.35">
      <c r="A60" s="4" t="s">
        <v>9</v>
      </c>
      <c r="B60" s="7">
        <v>735</v>
      </c>
      <c r="D60" s="4" t="s">
        <v>34</v>
      </c>
      <c r="E60" s="7">
        <v>5078</v>
      </c>
    </row>
    <row r="61" spans="1:5" x14ac:dyDescent="0.35">
      <c r="A61" s="4" t="s">
        <v>34</v>
      </c>
      <c r="B61" s="7">
        <v>5078</v>
      </c>
    </row>
  </sheetData>
  <phoneticPr fontId="18" type="noConversion"/>
  <pageMargins left="0.7" right="0.7" top="0.75" bottom="0.75" header="0.3" footer="0.3"/>
  <drawing r:id="rId6"/>
  <extLst>
    <ext xmlns:x14="http://schemas.microsoft.com/office/spreadsheetml/2009/9/main" uri="{A8765BA9-456A-4dab-B4F3-ACF838C121DE}">
      <x14:slicerList>
        <x14:slicer r:id="rId7"/>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cookie_sales_dataset_with_error</vt:lpstr>
      <vt:lpstr>Cookie Data Cleaned</vt:lpstr>
      <vt:lpstr>pivottable</vt:lpstr>
      <vt:lpstr>Cookies_Sales_Dataset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 Curtis</dc:creator>
  <cp:lastModifiedBy>TOM CURTIS</cp:lastModifiedBy>
  <dcterms:created xsi:type="dcterms:W3CDTF">2026-03-06T18:16:40Z</dcterms:created>
  <dcterms:modified xsi:type="dcterms:W3CDTF">2026-03-06T18:20:56Z</dcterms:modified>
</cp:coreProperties>
</file>